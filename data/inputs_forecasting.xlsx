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nachbar\Documents\"/>
    </mc:Choice>
  </mc:AlternateContent>
  <xr:revisionPtr revIDLastSave="0" documentId="13_ncr:1_{2969FBC6-44F3-4414-A273-1D0838AB2298}" xr6:coauthVersionLast="47" xr6:coauthVersionMax="47" xr10:uidLastSave="{00000000-0000-0000-0000-000000000000}"/>
  <bookViews>
    <workbookView xWindow="14295" yWindow="0" windowWidth="14610" windowHeight="17385" xr2:uid="{998CAE49-F45B-4B7A-AD02-07A41134BC5C}"/>
  </bookViews>
  <sheets>
    <sheet name="Actuals" sheetId="1" r:id="rId1"/>
    <sheet name="Forecas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3" l="1"/>
  <c r="AA4" i="3"/>
  <c r="AB4" i="3"/>
  <c r="AB9" i="3" s="1"/>
  <c r="AC4" i="3"/>
  <c r="AC9" i="3" s="1"/>
  <c r="AD4" i="3"/>
  <c r="AD42" i="3" s="1"/>
  <c r="AE4" i="3"/>
  <c r="AF4" i="3"/>
  <c r="AF9" i="3" s="1"/>
  <c r="AG4" i="3"/>
  <c r="AG9" i="3" s="1"/>
  <c r="AH4" i="3"/>
  <c r="AH9" i="3" s="1"/>
  <c r="AI4" i="3"/>
  <c r="AJ4" i="3"/>
  <c r="AK4" i="3"/>
  <c r="AL4" i="3"/>
  <c r="AL9" i="3" s="1"/>
  <c r="AM4" i="3"/>
  <c r="AM42" i="3" s="1"/>
  <c r="AN4" i="3"/>
  <c r="AO4" i="3"/>
  <c r="AP4" i="3"/>
  <c r="AP9" i="3" s="1"/>
  <c r="AQ4" i="3"/>
  <c r="AQ9" i="3" s="1"/>
  <c r="AR4" i="3"/>
  <c r="AR42" i="3" s="1"/>
  <c r="AS4" i="3"/>
  <c r="AT4" i="3"/>
  <c r="AT9" i="3" s="1"/>
  <c r="Z5" i="3"/>
  <c r="Z42" i="3" s="1"/>
  <c r="AA5" i="3"/>
  <c r="AA42" i="3" s="1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N42" i="3" s="1"/>
  <c r="AO5" i="3"/>
  <c r="AO42" i="3" s="1"/>
  <c r="AP5" i="3"/>
  <c r="AQ5" i="3"/>
  <c r="AR5" i="3"/>
  <c r="AS5" i="3"/>
  <c r="AT5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Z7" i="3"/>
  <c r="AA7" i="3"/>
  <c r="AB7" i="3"/>
  <c r="AC7" i="3"/>
  <c r="AD7" i="3"/>
  <c r="AE7" i="3"/>
  <c r="AE42" i="3" s="1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S42" i="3" s="1"/>
  <c r="AT7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Z9" i="3"/>
  <c r="AA9" i="3"/>
  <c r="AE9" i="3"/>
  <c r="AI9" i="3"/>
  <c r="AJ9" i="3"/>
  <c r="AK9" i="3"/>
  <c r="AM9" i="3"/>
  <c r="AN9" i="3"/>
  <c r="AO9" i="3"/>
  <c r="AS9" i="3"/>
  <c r="Z20" i="3"/>
  <c r="AA20" i="3"/>
  <c r="AB20" i="3"/>
  <c r="AC20" i="3"/>
  <c r="AD20" i="3"/>
  <c r="AE20" i="3"/>
  <c r="AE31" i="3" s="1"/>
  <c r="AF20" i="3"/>
  <c r="AF31" i="3" s="1"/>
  <c r="AG20" i="3"/>
  <c r="AG31" i="3" s="1"/>
  <c r="AH20" i="3"/>
  <c r="AH31" i="3" s="1"/>
  <c r="AI20" i="3"/>
  <c r="AJ20" i="3"/>
  <c r="AK20" i="3"/>
  <c r="AK31" i="3" s="1"/>
  <c r="AL20" i="3"/>
  <c r="AL31" i="3" s="1"/>
  <c r="AM20" i="3"/>
  <c r="AN20" i="3"/>
  <c r="AO20" i="3"/>
  <c r="AP20" i="3"/>
  <c r="AQ20" i="3"/>
  <c r="AR20" i="3"/>
  <c r="AS20" i="3"/>
  <c r="AS31" i="3" s="1"/>
  <c r="AT20" i="3"/>
  <c r="AT31" i="3" s="1"/>
  <c r="AO22" i="3"/>
  <c r="Z31" i="3"/>
  <c r="AA31" i="3"/>
  <c r="AB31" i="3"/>
  <c r="AC31" i="3"/>
  <c r="AD31" i="3"/>
  <c r="AI31" i="3"/>
  <c r="AJ31" i="3"/>
  <c r="AM31" i="3"/>
  <c r="AN31" i="3"/>
  <c r="AO31" i="3"/>
  <c r="AP31" i="3"/>
  <c r="AQ31" i="3"/>
  <c r="AR31" i="3"/>
  <c r="AB42" i="3"/>
  <c r="AC42" i="3"/>
  <c r="AF42" i="3"/>
  <c r="AG42" i="3"/>
  <c r="AI42" i="3"/>
  <c r="AJ42" i="3"/>
  <c r="AK42" i="3"/>
  <c r="AP42" i="3"/>
  <c r="AQ42" i="3"/>
  <c r="AT42" i="3"/>
  <c r="V37" i="1"/>
  <c r="H37" i="1"/>
  <c r="AE36" i="1"/>
  <c r="AE35" i="1"/>
  <c r="AE34" i="1"/>
  <c r="AE33" i="1"/>
  <c r="AE32" i="1"/>
  <c r="AI27" i="1"/>
  <c r="AH27" i="1"/>
  <c r="AG27" i="1"/>
  <c r="AF27" i="1"/>
  <c r="V27" i="1"/>
  <c r="U27" i="1"/>
  <c r="T27" i="1"/>
  <c r="S27" i="1"/>
  <c r="R27" i="1"/>
  <c r="H27" i="1"/>
  <c r="G27" i="1"/>
  <c r="F27" i="1"/>
  <c r="E27" i="1"/>
  <c r="D27" i="1"/>
  <c r="AI18" i="1"/>
  <c r="AH18" i="1"/>
  <c r="AG18" i="1"/>
  <c r="AF18" i="1"/>
  <c r="AE18" i="1"/>
  <c r="AE27" i="1" s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X27" i="1" s="1"/>
  <c r="W18" i="1"/>
  <c r="W27" i="1" s="1"/>
  <c r="V18" i="1"/>
  <c r="U18" i="1"/>
  <c r="U37" i="1" s="1"/>
  <c r="T18" i="1"/>
  <c r="T37" i="1" s="1"/>
  <c r="S18" i="1"/>
  <c r="S37" i="1" s="1"/>
  <c r="R18" i="1"/>
  <c r="R37" i="1" s="1"/>
  <c r="Q18" i="1"/>
  <c r="Q27" i="1" s="1"/>
  <c r="P18" i="1"/>
  <c r="P27" i="1" s="1"/>
  <c r="O18" i="1"/>
  <c r="O37" i="1" s="1"/>
  <c r="N18" i="1"/>
  <c r="N37" i="1" s="1"/>
  <c r="M18" i="1"/>
  <c r="M27" i="1" s="1"/>
  <c r="L18" i="1"/>
  <c r="L27" i="1" s="1"/>
  <c r="K18" i="1"/>
  <c r="K27" i="1" s="1"/>
  <c r="J18" i="1"/>
  <c r="J37" i="1" s="1"/>
  <c r="I18" i="1"/>
  <c r="I37" i="1" s="1"/>
  <c r="H18" i="1"/>
  <c r="G18" i="1"/>
  <c r="G37" i="1" s="1"/>
  <c r="F18" i="1"/>
  <c r="F37" i="1" s="1"/>
  <c r="E18" i="1"/>
  <c r="E37" i="1" s="1"/>
  <c r="D18" i="1"/>
  <c r="D37" i="1" s="1"/>
  <c r="C18" i="1"/>
  <c r="C27" i="1" s="1"/>
  <c r="AI8" i="1"/>
  <c r="AI37" i="1" s="1"/>
  <c r="AH8" i="1"/>
  <c r="AH37" i="1" s="1"/>
  <c r="AG8" i="1"/>
  <c r="AG37" i="1" s="1"/>
  <c r="AF8" i="1"/>
  <c r="AF37" i="1" s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L42" i="3" l="1"/>
  <c r="AR9" i="3"/>
  <c r="AD9" i="3"/>
  <c r="AH42" i="3"/>
  <c r="AE37" i="1"/>
  <c r="W37" i="1"/>
  <c r="Y37" i="1"/>
  <c r="M37" i="1"/>
  <c r="P37" i="1"/>
  <c r="AD37" i="1"/>
  <c r="X37" i="1"/>
  <c r="K37" i="1"/>
  <c r="Z37" i="1"/>
  <c r="I27" i="1"/>
  <c r="AA37" i="1"/>
  <c r="J27" i="1"/>
  <c r="AB37" i="1"/>
  <c r="AC37" i="1"/>
  <c r="C37" i="1"/>
  <c r="N27" i="1"/>
  <c r="O27" i="1"/>
  <c r="L37" i="1"/>
  <c r="Q37" i="1"/>
</calcChain>
</file>

<file path=xl/sharedStrings.xml><?xml version="1.0" encoding="utf-8"?>
<sst xmlns="http://schemas.openxmlformats.org/spreadsheetml/2006/main" count="755" uniqueCount="101">
  <si>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</si>
  <si>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</si>
  <si>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</si>
  <si>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</si>
  <si>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</si>
  <si>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</si>
  <si>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</si>
  <si>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</si>
  <si>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</si>
  <si>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</si>
  <si>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</si>
  <si>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</si>
  <si>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</si>
  <si>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</si>
  <si>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</si>
  <si>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</si>
  <si>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</si>
  <si>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</si>
  <si>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</si>
  <si>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</si>
  <si>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</si>
  <si>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</si>
  <si>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</si>
  <si>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</si>
  <si>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</si>
  <si>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</si>
  <si>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</si>
  <si>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</si>
  <si>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</si>
  <si>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</si>
  <si>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</si>
  <si>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</si>
  <si>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</si>
  <si>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</si>
  <si>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</si>
  <si>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</si>
  <si>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</si>
  <si>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</si>
  <si>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</si>
  <si>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</si>
  <si>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</si>
  <si>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</si>
  <si>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</si>
  <si>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</si>
  <si>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</si>
  <si>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</si>
  <si>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</si>
  <si>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</si>
  <si>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</si>
  <si>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</si>
  <si>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</si>
  <si>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</si>
  <si>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</si>
  <si>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</si>
  <si>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</si>
  <si>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</si>
  <si>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</si>
  <si>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</si>
  <si>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</si>
  <si>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</si>
  <si>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</si>
  <si>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</si>
  <si>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</si>
  <si>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</si>
  <si>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</si>
  <si>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</si>
  <si>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</si>
  <si>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</si>
  <si>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</si>
  <si>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</si>
  <si>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</si>
  <si>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</si>
  <si>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</si>
  <si>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</si>
  <si>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</si>
  <si>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</si>
  <si>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</si>
  <si>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</si>
  <si>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</si>
  <si>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</si>
  <si>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</si>
  <si>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</si>
  <si>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</si>
  <si>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</si>
  <si>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</si>
  <si>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</si>
  <si>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</si>
  <si>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</si>
  <si>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</si>
  <si>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</si>
  <si>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</si>
  <si>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</si>
  <si>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</si>
  <si>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</si>
  <si>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</si>
  <si>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</si>
  <si>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</si>
  <si>
    <t>CVR</t>
  </si>
  <si>
    <t>new first 10 weeks</t>
  </si>
  <si>
    <t>old first 10 weeks</t>
  </si>
  <si>
    <t>Actuals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</si>
</sst>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%;\-#,##0.00%"/>
    <numFmt numFmtId="165" formatCode="#,##0.##;\-#,##0.##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  <xf numFmtId="166" fontId="0" fillId="0" borderId="0" xfId="0" applyNumberFormat="1"/>
    <xf numFmtId="10" fontId="0" fillId="0" borderId="0" xfId="0" applyNumberFormat="1"/>
    <xf numFmtId="1" fontId="5" fillId="0" borderId="0" xfId="0" applyNumberFormat="1" applyFont="1"/>
    <xf numFmtId="1" fontId="0" fillId="0" borderId="0" xfId="0" applyNumberFormat="1"/>
    <xf numFmtId="165" fontId="4" fillId="7" borderId="12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5" fontId="4" fillId="7" borderId="1" xfId="0" applyNumberFormat="1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0" fontId="2" fillId="4" borderId="14" xfId="0" applyFont="1" applyFill="1" applyBorder="1"/>
    <xf numFmtId="164" fontId="4" fillId="7" borderId="12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164" fontId="4" fillId="7" borderId="13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37" fontId="5" fillId="3" borderId="12" xfId="0" applyNumberFormat="1" applyFont="1" applyFill="1" applyBorder="1" applyAlignment="1">
      <alignment horizontal="center" vertical="center" wrapText="1"/>
    </xf>
    <xf numFmtId="37" fontId="5" fillId="3" borderId="1" xfId="0" applyNumberFormat="1" applyFont="1" applyFill="1" applyBorder="1" applyAlignment="1">
      <alignment horizontal="center" vertical="center" wrapText="1"/>
    </xf>
    <xf numFmtId="37" fontId="5" fillId="3" borderId="13" xfId="0" applyNumberFormat="1" applyFont="1" applyFill="1" applyBorder="1" applyAlignment="1">
      <alignment horizontal="center" vertical="center" wrapText="1"/>
    </xf>
    <xf numFmtId="37" fontId="4" fillId="3" borderId="12" xfId="0" applyNumberFormat="1" applyFont="1" applyFill="1" applyBorder="1" applyAlignment="1">
      <alignment horizontal="center" vertical="center" wrapText="1"/>
    </xf>
    <xf numFmtId="37" fontId="4" fillId="3" borderId="1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654"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border outline="0">
        <bottom style="thin">
          <color rgb="FF44B3E1"/>
        </bottom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border outline="0">
        <bottom style="thin">
          <color rgb="FF44B3E1"/>
        </bottom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  <dxf>
      <border outline="0">
        <bottom style="thin">
          <color rgb="FF44B3E1"/>
        </bottom>
      </border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4510D3-524C-4535-A471-802D843A1A07}" name="tblActualUnits" displayName="tblActualUnits" ref="B2:CJ8" totalsRowShown="0">
  <autoFilter ref="B2:CJ8" xr:uid="{474510D3-524C-4535-A471-802D843A1A07}"/>
  <tableColumns count="87">
    <tableColumn id="1" xr3:uid="{8A60B2E7-ABBF-4641-9955-09DA84FC0A06}" name="MP"/>
    <tableColumn id="2" xr3:uid="{13FD81F4-9E05-4BE7-B113-0C4A55482BEA}" name="Wk19 2025" dataDxfId="653"/>
    <tableColumn id="3" xr3:uid="{1AEAA06F-03B4-4F67-8163-EAE83B84D35D}" name="Wk20 2025" dataDxfId="652"/>
    <tableColumn id="4" xr3:uid="{512F4607-A273-46EA-98FD-E6E53E5DF753}" name="Wk21 2025" dataDxfId="651"/>
    <tableColumn id="5" xr3:uid="{F285CE1E-1FA0-4C45-B791-E2E8471ECEB2}" name="Wk22 2025" dataDxfId="650"/>
    <tableColumn id="6" xr3:uid="{D85ABC35-0435-4EA9-9A25-21145CF62BA4}" name="Wk23 2025" dataDxfId="649"/>
    <tableColumn id="7" xr3:uid="{31E8A41B-B5FC-4636-B2D2-E024E430B540}" name="Wk24 2025" dataDxfId="648"/>
    <tableColumn id="8" xr3:uid="{00F302F2-72D6-4E10-8C01-5129A9033E4C}" name="Wk25 2025" dataDxfId="647"/>
    <tableColumn id="9" xr3:uid="{D7E99778-C789-45AB-9A54-1AFCD0C660FD}" name="Wk26 2025" dataDxfId="646"/>
    <tableColumn id="10" xr3:uid="{9EF92F29-F549-493C-9262-6969F6A253FD}" name="Wk27 2025" dataDxfId="645"/>
    <tableColumn id="11" xr3:uid="{C85E7BE4-4F98-4361-A454-E045F673CD08}" name="Wk28 2025" dataDxfId="644"/>
    <tableColumn id="12" xr3:uid="{15ED52B9-8ADB-4BF9-A566-84B6D4C490E4}" name="Wk29 2025" dataDxfId="643"/>
    <tableColumn id="13" xr3:uid="{330D112C-9015-486D-8D10-35E1786FD254}" name="Wk30 2025" dataDxfId="642"/>
    <tableColumn id="14" xr3:uid="{062ADA78-021A-4190-B9B2-12B6D4662A47}" name="Wk31 2025" dataDxfId="641"/>
    <tableColumn id="15" xr3:uid="{8543F3A1-350B-4532-9785-45DDFC72F9FA}" name="Wk32 2025" dataDxfId="640"/>
    <tableColumn id="16" xr3:uid="{4982A0B7-4E99-4E5A-B7A3-B0CA9F603B63}" name="Wk33 2025" dataDxfId="639"/>
    <tableColumn id="17" xr3:uid="{045A32AA-8316-4F8E-9753-135931BA67C5}" name="Wk34 2025" dataDxfId="638"/>
    <tableColumn id="18" xr3:uid="{8054421F-1760-48EC-942D-F6A96FE31891}" name="Wk35 2025" dataDxfId="637"/>
    <tableColumn id="19" xr3:uid="{BF3F568E-22A0-4648-B85D-AAC7E3EF0145}" name="Wk36 2025" dataDxfId="636"/>
    <tableColumn id="20" xr3:uid="{8DC070B0-D8A0-471E-9F69-A25238F196E9}" name="Wk37 2025" dataDxfId="635"/>
    <tableColumn id="21" xr3:uid="{62D5A6E3-5BF6-4E63-B80B-43C0631A6DE7}" name="Wk38 2025" dataDxfId="634"/>
    <tableColumn id="22" xr3:uid="{3D68F5A8-B1C5-43EC-867E-A5D1F256FA5E}" name="Wk39 2025" dataDxfId="633"/>
    <tableColumn id="23" xr3:uid="{6A5C5AA6-C3EC-40EF-8291-F8049B1B8DC8}" name="Wk40 2025" dataDxfId="632"/>
    <tableColumn id="24" xr3:uid="{3C23E0F9-8D51-4921-891C-91D8406F6651}" name="Wk41 2025" dataDxfId="631"/>
    <tableColumn id="25" xr3:uid="{247CB429-DDAD-4677-8665-88B01ACAC023}" name="Wk42 2025" dataDxfId="630"/>
    <tableColumn id="26" xr3:uid="{F50410F0-3826-4A4E-A0C8-AA27CCFFA9D1}" name="Wk43 2025" dataDxfId="629"/>
    <tableColumn id="27" xr3:uid="{BE534070-AF76-490F-904B-A8C70DCE0D28}" name="Wk44 2025" dataDxfId="628"/>
    <tableColumn id="28" xr3:uid="{21912BE7-9584-465B-98D0-9A2B2DD77D2C}" name="Wk45 2025" dataDxfId="627"/>
    <tableColumn id="29" xr3:uid="{120C95B9-E511-4639-9CB6-113E56AA696E}" name="Wk46 2025" dataDxfId="626"/>
    <tableColumn id="30" xr3:uid="{6CD63257-9D2F-4EF5-87FE-F3B20B57D74F}" name="Wk47 2025" dataDxfId="625"/>
    <tableColumn id="31" xr3:uid="{1DBEDFB9-5095-477D-8D0E-09151B71F66D}" name="Wk48 2025" dataDxfId="624"/>
    <tableColumn id="32" xr3:uid="{91D1815A-3773-4FF3-89DE-B4258A5BFB5F}" name="Wk49 2025" dataDxfId="623"/>
    <tableColumn id="33" xr3:uid="{15CBE303-07BA-4752-A521-E2E4A9065CD7}" name="Wk50 2025" dataDxfId="622"/>
    <tableColumn id="34" xr3:uid="{9B9D648B-C484-48EF-B26D-71801904B26C}" name="Wk51 2025" dataDxfId="621"/>
    <tableColumn id="35" xr3:uid="{4D1A5032-D184-40E5-9F1C-EDCB20D37C14}" name="Wk52 2025" dataDxfId="620"/>
    <tableColumn id="36" xr3:uid="{39369CDF-3E8C-4713-8379-436D93E94096}" name="Wk 1 2026" dataDxfId="619"/>
    <tableColumn id="37" xr3:uid="{99BC60EE-4C69-4919-9429-1FFB73B77CEC}" name="Wk 2 2026" dataDxfId="618"/>
    <tableColumn id="38" xr3:uid="{38873EAD-C962-4CB7-9E7A-9A9D7C5F765F}" name="Wk 3 2026" dataDxfId="617"/>
    <tableColumn id="39" xr3:uid="{3D441407-9AA3-417E-9053-10E282CD544C}" name="Wk 4 2026" dataDxfId="616"/>
    <tableColumn id="40" xr3:uid="{0AC4A2ED-1B2A-46E2-A4CA-FE992578B097}" name="Wk 5 2026" dataDxfId="615"/>
    <tableColumn id="41" xr3:uid="{CA32406E-AF27-4701-8E98-915FA995785F}" name="Wk 6 2026" dataDxfId="614"/>
    <tableColumn id="42" xr3:uid="{332C9F85-C82F-49EB-8637-45B6B35C48D1}" name="Wk 7 2026" dataDxfId="613"/>
    <tableColumn id="43" xr3:uid="{213D3273-48AA-462B-B93F-8D5D2CCC8302}" name="Wk 8 2026" dataDxfId="612"/>
    <tableColumn id="44" xr3:uid="{3744F9A8-BC1C-43D7-8836-870125445DF7}" name="Wk 9 2026" dataDxfId="611"/>
    <tableColumn id="45" xr3:uid="{2FFF9FF6-2A3E-44C4-8206-8939F6E78C83}" name="Wk 10 2026" dataDxfId="610"/>
    <tableColumn id="46" xr3:uid="{0F820EF9-3F16-4474-8408-AE6885369B78}" name="Wk 11 2026" dataDxfId="609"/>
    <tableColumn id="47" xr3:uid="{AF581808-7A9C-40B9-AFDD-1DA62E93B9DB}" name="Wk 12 2026" dataDxfId="608"/>
    <tableColumn id="48" xr3:uid="{D39FE1D5-C625-4940-8FFA-89B8871569FC}" name="Wk 13 2026" dataDxfId="607"/>
    <tableColumn id="49" xr3:uid="{0FF1C889-AC30-4178-A21D-C4583DF67E8D}" name="Wk 14 2026" dataDxfId="606"/>
    <tableColumn id="50" xr3:uid="{2C355573-FA56-4677-9FDD-E77F4B45A87B}" name="Wk 15 2026" dataDxfId="605"/>
    <tableColumn id="51" xr3:uid="{77BB5FD6-D0A1-45D5-9A65-30D55F4DE54B}" name="Wk 16 2026" dataDxfId="604"/>
    <tableColumn id="52" xr3:uid="{1B3951B2-C32F-463B-A647-96F9C4CF5562}" name="Wk 17 2026" dataDxfId="603"/>
    <tableColumn id="53" xr3:uid="{5BE76B65-7E64-4D9D-9E69-C38477404C4E}" name="Wk 18 2026" dataDxfId="602"/>
    <tableColumn id="54" xr3:uid="{085429E7-BCEC-4DD4-99A2-3F12A20AD9A2}" name="Wk 19 2026" dataDxfId="601"/>
    <tableColumn id="55" xr3:uid="{1F704376-277E-46E8-A7B1-51C5E7014BC9}" name="Wk 20 2026" dataDxfId="600"/>
    <tableColumn id="56" xr3:uid="{3D07B564-E4B3-473B-9EDC-B2354D0367D7}" name="Wk 21 2026" dataDxfId="599"/>
    <tableColumn id="57" xr3:uid="{6F902361-5171-429A-9ADC-E51613527CC0}" name="Wk 22 2026" dataDxfId="598"/>
    <tableColumn id="58" xr3:uid="{F15A3C2B-1E39-4838-8C84-89A02705600C}" name="Wk 23 2026" dataDxfId="597"/>
    <tableColumn id="59" xr3:uid="{796B7618-0FB2-4F1A-A9F9-9BD396DC1666}" name="Wk 24 2026" dataDxfId="596"/>
    <tableColumn id="60" xr3:uid="{168CCEF6-2F5F-424E-B7B3-D6FBA38A27ED}" name="Wk 25 2026" dataDxfId="595"/>
    <tableColumn id="61" xr3:uid="{9AB9BC13-2C00-4514-8629-23D9D1CCBEBA}" name="Wk 26 2026" dataDxfId="594"/>
    <tableColumn id="62" xr3:uid="{EB0BCF33-C994-4014-B7C8-0FFEAAAFAD0D}" name="Wk 27 2026" dataDxfId="593"/>
    <tableColumn id="63" xr3:uid="{6042F14B-19E7-4326-A922-DF2CF2808630}" name="Wk 28 2026" dataDxfId="592"/>
    <tableColumn id="64" xr3:uid="{CFAFE7FE-2B0F-46E5-A57D-96BC7350BCD2}" name="Wk 29 2026" dataDxfId="591"/>
    <tableColumn id="65" xr3:uid="{7110FF7A-F9F1-4C80-9370-E0B2395BB5F4}" name="Wk 30 2026" dataDxfId="590"/>
    <tableColumn id="66" xr3:uid="{9F64292D-E031-458D-887D-634E87E60EBE}" name="Wk 31 2026" dataDxfId="589"/>
    <tableColumn id="67" xr3:uid="{BD51B877-32A3-485C-A75B-B9B7C38A0CC3}" name="Wk 32 2026" dataDxfId="588"/>
    <tableColumn id="68" xr3:uid="{AFE97B97-BFE5-42C8-A71F-8CAB8662EC05}" name="Wk 33 2026" dataDxfId="587"/>
    <tableColumn id="69" xr3:uid="{E66D79C7-AAF0-44AE-9C32-B3CA12508524}" name="Wk 34 2026" dataDxfId="586"/>
    <tableColumn id="70" xr3:uid="{12AB30C4-1B7B-405C-92E6-301372E9C5C1}" name="Wk 35 2026" dataDxfId="585"/>
    <tableColumn id="71" xr3:uid="{794C630B-BF54-4E29-9074-3E1EEDB80B16}" name="Wk 36 2026" dataDxfId="584"/>
    <tableColumn id="72" xr3:uid="{20043D72-03E6-40C7-A1B8-0C8C2764FAA4}" name="Wk 37 2026" dataDxfId="583"/>
    <tableColumn id="73" xr3:uid="{C05051C0-DC03-4CAA-B31C-105EE4736B34}" name="Wk 38 2026" dataDxfId="582"/>
    <tableColumn id="74" xr3:uid="{A60CC0EC-2C84-4830-98D0-2BF9274FB02D}" name="Wk 39 2026" dataDxfId="581"/>
    <tableColumn id="75" xr3:uid="{3670D0DC-9CEB-4E08-BC6B-B36559ED86DD}" name="Wk 40 2026" dataDxfId="580"/>
    <tableColumn id="76" xr3:uid="{1C8869A9-BDB7-4C7A-A4EA-B78A877AC9C5}" name="Wk 41 2026" dataDxfId="579"/>
    <tableColumn id="77" xr3:uid="{EB373CDE-40AA-46AD-B2D3-F1204A0D3E73}" name="Wk 42 2026" dataDxfId="578"/>
    <tableColumn id="78" xr3:uid="{75C8AE7C-6871-475F-AEE0-5E515905A257}" name="Wk 43 2026" dataDxfId="577"/>
    <tableColumn id="79" xr3:uid="{4874C6D8-199C-41D0-BBFD-A348B935E4AD}" name="Wk 44 2026" dataDxfId="576"/>
    <tableColumn id="80" xr3:uid="{C003F127-10EE-4777-A03B-23EDF79989C0}" name="Wk 45 2026" dataDxfId="575"/>
    <tableColumn id="81" xr3:uid="{BACD9D11-A9DE-467E-9BF3-8CA8207B8993}" name="Wk 46 2026" dataDxfId="574"/>
    <tableColumn id="82" xr3:uid="{BFF349F6-BA1C-482C-8A88-4E5F662BF0FD}" name="Wk 47 2026" dataDxfId="573"/>
    <tableColumn id="83" xr3:uid="{095D7966-D93A-460E-92F4-1BB9A892A198}" name="Wk 48 2026" dataDxfId="572"/>
    <tableColumn id="84" xr3:uid="{98717447-9B93-4D62-8E60-49AF4B204795}" name="Wk 49 2026" dataDxfId="571"/>
    <tableColumn id="85" xr3:uid="{F3BC61BC-00FB-4FAD-B795-0579D6E3B9E9}" name="Wk 50 2026" dataDxfId="570"/>
    <tableColumn id="86" xr3:uid="{14DA971D-7FB8-4423-B6D7-F547DC785CA5}" name="Wk 51 2026" dataDxfId="569"/>
    <tableColumn id="87" xr3:uid="{4C7541F1-6DF0-4936-BCFE-94877B51417C}" name="Wk 52 2026" dataDxfId="5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B9719C-E9A5-476C-A8B2-16DBE2BE55E6}" name="tblActualsUPO" displayName="tblActualsUPO" ref="B31:CJ37" totalsRowShown="0">
  <autoFilter ref="B31:CJ37" xr:uid="{DCB9719C-E9A5-476C-A8B2-16DBE2BE55E6}"/>
  <tableColumns count="87">
    <tableColumn id="1" xr3:uid="{FF5E1F4C-B7F8-47C5-BB8B-86B31578F303}" name="MP" dataDxfId="567"/>
    <tableColumn id="2" xr3:uid="{4F472AEB-857D-4C0B-9856-F73FF5174282}" name="Wk19 2025" dataDxfId="566"/>
    <tableColumn id="3" xr3:uid="{6C36287B-5588-4F2D-BD12-BF5023D934F2}" name="Wk20 2025" dataDxfId="565"/>
    <tableColumn id="4" xr3:uid="{01EE9C39-8977-4EEE-81E1-8826EE50047C}" name="Wk21 2025" dataDxfId="564"/>
    <tableColumn id="5" xr3:uid="{4B23CD96-D4E0-4EB6-AF0B-5E03B0AF2D19}" name="Wk22 2025" dataDxfId="563"/>
    <tableColumn id="6" xr3:uid="{C5CF90B9-2677-4016-8AAF-D01EE9DC1FA1}" name="Wk23 2025" dataDxfId="562"/>
    <tableColumn id="7" xr3:uid="{64367572-7EAE-4264-A73B-B37563FEFDC0}" name="Wk24 2025"/>
    <tableColumn id="8" xr3:uid="{24219946-26D7-4713-800C-8A55F706C073}" name="Wk25 2025"/>
    <tableColumn id="9" xr3:uid="{1622252A-4FF9-432D-914F-489274CEC7C0}" name="Wk26 2025"/>
    <tableColumn id="10" xr3:uid="{7392121E-0EA5-4799-8433-BB703C8D869A}" name="Wk27 2025"/>
    <tableColumn id="11" xr3:uid="{E6E01EBD-2A1E-4309-86F5-C9EF9A124291}" name="Wk28 2025"/>
    <tableColumn id="12" xr3:uid="{10B25E92-18DE-439E-A86D-91AC74002693}" name="Wk29 2025"/>
    <tableColumn id="13" xr3:uid="{E01CFF7E-D9BA-48A8-A534-4720E6BCB1A3}" name="Wk30 2025"/>
    <tableColumn id="14" xr3:uid="{6097FC57-A8FB-473B-B598-9A31D1BF36A9}" name="Wk31 2025"/>
    <tableColumn id="15" xr3:uid="{9E28B6D4-C543-429D-87B2-1293D4E3B80D}" name="Wk32 2025"/>
    <tableColumn id="16" xr3:uid="{4153D664-89FA-40B6-9B71-A3D12EABA83F}" name="Wk33 2025"/>
    <tableColumn id="17" xr3:uid="{34CE0D89-F649-42FF-8B11-278B25AD626B}" name="Wk34 2025"/>
    <tableColumn id="18" xr3:uid="{6982D4EC-860C-44A8-8E26-073F5473DCFA}" name="Wk35 2025"/>
    <tableColumn id="19" xr3:uid="{D7C7A4F2-3A93-4516-ABED-6AE5E9CCE555}" name="Wk36 2025"/>
    <tableColumn id="20" xr3:uid="{E612321C-F9E7-42A8-AA7D-503CF5CE3003}" name="Wk37 2025"/>
    <tableColumn id="21" xr3:uid="{4D84044A-01AA-4DAF-9C30-6369D7769118}" name="Wk38 2025"/>
    <tableColumn id="22" xr3:uid="{C575DE89-C32F-4C99-BEC1-65B6EDD3FB9E}" name="Wk39 2025" dataDxfId="561"/>
    <tableColumn id="23" xr3:uid="{1B07D814-ED19-480B-BCF5-911ADD551C2E}" name="Wk40 2025" dataDxfId="560"/>
    <tableColumn id="24" xr3:uid="{73BBCA00-89AF-4E98-8B54-56D3D273BC7D}" name="Wk41 2025" dataDxfId="559"/>
    <tableColumn id="25" xr3:uid="{EFBAF190-93B0-4DBA-B029-746AF2A4F0CE}" name="Wk42 2025" dataDxfId="558"/>
    <tableColumn id="26" xr3:uid="{CF028B4D-CA2E-4D85-A7DE-4F3C087025DF}" name="Wk43 2025" dataDxfId="557"/>
    <tableColumn id="27" xr3:uid="{6B89BD83-6622-49D1-B0FE-E022771397A1}" name="Wk44 2025" dataDxfId="556"/>
    <tableColumn id="28" xr3:uid="{A0D36DCA-3536-4368-A837-2F481787E4EC}" name="Wk45 2025" dataDxfId="555"/>
    <tableColumn id="29" xr3:uid="{AE09007D-55DC-4C9B-AE1D-54FFEB62EEA8}" name="Wk46 2025" dataDxfId="554"/>
    <tableColumn id="30" xr3:uid="{202B3FBC-4012-4B29-AF7F-0BCCD3531978}" name="Wk47 2025" dataDxfId="553">
      <calculatedColumnFormula>AE3/(AE13*AE22)</calculatedColumnFormula>
    </tableColumn>
    <tableColumn id="31" xr3:uid="{56F75F79-F9C0-497D-9020-C9FB0026AEB5}" name="Wk48 2025" dataDxfId="552"/>
    <tableColumn id="32" xr3:uid="{76830D05-4C1D-4BDC-965E-AC93F1E7F0BB}" name="Wk49 2025" dataDxfId="551"/>
    <tableColumn id="33" xr3:uid="{8F3BFDF1-7BD4-42E8-95B0-30C9B3EC8EB4}" name="Wk50 2025" dataDxfId="550">
      <calculatedColumnFormula>AH3/(AH13*AH22)</calculatedColumnFormula>
    </tableColumn>
    <tableColumn id="34" xr3:uid="{774785ED-8276-49C5-AD41-6A28486BF53E}" name="Wk51 2025" dataDxfId="549"/>
    <tableColumn id="35" xr3:uid="{BD3E70B8-EF41-4D46-9CC3-6F40B3099B99}" name="Wk52 2025" dataDxfId="548"/>
    <tableColumn id="36" xr3:uid="{167CF893-BA54-4B40-BC61-486C043E894F}" name="Wk 1 2026" dataDxfId="547"/>
    <tableColumn id="37" xr3:uid="{FF999AEB-49A8-450C-A6FF-9FA78911CAB4}" name="Wk 2 2026" dataDxfId="546"/>
    <tableColumn id="38" xr3:uid="{6FCD178F-467D-4D56-99E7-D09F0CB8DEBA}" name="Wk 3 2026" dataDxfId="545"/>
    <tableColumn id="39" xr3:uid="{6DEAC9EA-1E3B-4E94-936A-66C0D0C5D383}" name="Wk 4 2026" dataDxfId="544"/>
    <tableColumn id="40" xr3:uid="{428990F6-E2C6-4D56-8CE4-93D99AF0DFBE}" name="Wk 5 2026" dataDxfId="543"/>
    <tableColumn id="41" xr3:uid="{08EB2A31-D296-462F-A62D-BC5780568B10}" name="Wk 6 2026" dataDxfId="542"/>
    <tableColumn id="42" xr3:uid="{82F95084-04E9-4564-852F-392779661E26}" name="Wk 7 2026" dataDxfId="541"/>
    <tableColumn id="43" xr3:uid="{FA8A8216-7F1B-4286-8B28-4A1A76A0591C}" name="Wk 8 2026" dataDxfId="540"/>
    <tableColumn id="44" xr3:uid="{0AC662FD-A750-4B07-9FA1-C0A56834D63C}" name="Wk 9 2026" dataDxfId="539"/>
    <tableColumn id="45" xr3:uid="{D356147E-91B3-4FE6-8902-80DE5E506356}" name="Wk 10 2026" dataDxfId="538"/>
    <tableColumn id="46" xr3:uid="{20F85B83-DD6D-4BD3-B9C5-6719520A2EE0}" name="Wk 11 2026" dataDxfId="537"/>
    <tableColumn id="47" xr3:uid="{A2E896C3-648A-46D8-A60D-2F61164AE4D4}" name="Wk 12 2026" dataDxfId="536"/>
    <tableColumn id="48" xr3:uid="{D2EE3864-47AF-47B8-A5B9-60043814D83B}" name="Wk 13 2026" dataDxfId="535"/>
    <tableColumn id="49" xr3:uid="{3167537E-6E32-4EB2-886C-DF7B752427AD}" name="Wk 14 2026" dataDxfId="534"/>
    <tableColumn id="50" xr3:uid="{FC861F37-0681-4883-BB56-051E14737063}" name="Wk 15 2026" dataDxfId="533"/>
    <tableColumn id="51" xr3:uid="{71CE2DF8-303C-45BD-AA22-D1D58C5280AB}" name="Wk 16 2026" dataDxfId="532"/>
    <tableColumn id="52" xr3:uid="{43D7A940-505E-4C88-A628-6E0EA042D0E3}" name="Wk 17 2026" dataDxfId="531"/>
    <tableColumn id="53" xr3:uid="{8D7359CD-16CB-4005-AE4E-2F17127175BF}" name="Wk 18 2026" dataDxfId="530"/>
    <tableColumn id="54" xr3:uid="{C2DF5A20-F9A8-4F4D-9E99-4D01760D21C4}" name="Wk 19 2026" dataDxfId="529"/>
    <tableColumn id="55" xr3:uid="{96CA90C3-2763-4B8E-B42D-89C55FE5B616}" name="Wk 20 2026" dataDxfId="528"/>
    <tableColumn id="56" xr3:uid="{F8362AE6-018F-4A08-B091-8B83805F4BB2}" name="Wk 21 2026" dataDxfId="527"/>
    <tableColumn id="57" xr3:uid="{45992418-70A6-4DCD-A32C-1D63AA49A4D8}" name="Wk 22 2026" dataDxfId="526"/>
    <tableColumn id="58" xr3:uid="{1B7D0E7A-E049-479A-9080-9FDFB57FC0CA}" name="Wk 23 2026" dataDxfId="525"/>
    <tableColumn id="59" xr3:uid="{E95BFF68-C21B-49FD-B2DA-15EE93B58EAA}" name="Wk 24 2026" dataDxfId="524"/>
    <tableColumn id="60" xr3:uid="{ECF0F9BF-7920-419B-B2CF-F09E730FF878}" name="Wk 25 2026" dataDxfId="523"/>
    <tableColumn id="61" xr3:uid="{5DA71C02-37E7-4396-A1B7-FF70D24CDE19}" name="Wk 26 2026" dataDxfId="522"/>
    <tableColumn id="62" xr3:uid="{F9A5F33B-D2C0-455B-A34B-8EFDFD6C8C53}" name="Wk 27 2026" dataDxfId="521"/>
    <tableColumn id="63" xr3:uid="{D4CD628A-4312-4FB1-995A-60E50CBDC427}" name="Wk 28 2026" dataDxfId="520"/>
    <tableColumn id="64" xr3:uid="{CB6C362B-F773-41B2-A29C-FE9E91160619}" name="Wk 29 2026" dataDxfId="519"/>
    <tableColumn id="65" xr3:uid="{056BC328-B98D-4D28-958C-77D46F881CB2}" name="Wk 30 2026" dataDxfId="518"/>
    <tableColumn id="66" xr3:uid="{017E8A3B-C1CB-4DBE-B7CF-6205BE4DCDB2}" name="Wk 31 2026" dataDxfId="517"/>
    <tableColumn id="67" xr3:uid="{1CE38079-6A49-4EDC-9CC9-30C350F40A7A}" name="Wk 32 2026" dataDxfId="516"/>
    <tableColumn id="68" xr3:uid="{D267527A-B4F7-4FD7-A909-D77BFB9C4BFE}" name="Wk 33 2026" dataDxfId="515"/>
    <tableColumn id="69" xr3:uid="{FBC52664-8D0E-40AC-8DE4-AEA565D8FAAD}" name="Wk 34 2026" dataDxfId="514"/>
    <tableColumn id="70" xr3:uid="{BEEBB6E6-7DF6-4419-8EDA-37A3969DB9C0}" name="Wk 35 2026" dataDxfId="513"/>
    <tableColumn id="71" xr3:uid="{7F513271-0C3A-441B-A2BF-AEFC48D33362}" name="Wk 36 2026" dataDxfId="512"/>
    <tableColumn id="72" xr3:uid="{4A3C3440-7ED7-4C43-92CA-BA6E7289B8BF}" name="Wk 37 2026" dataDxfId="511"/>
    <tableColumn id="73" xr3:uid="{1F1D81D8-3E1D-48E7-A4D7-F1354773D8FD}" name="Wk 38 2026" dataDxfId="510"/>
    <tableColumn id="74" xr3:uid="{E238D3F0-F210-44E2-A00F-BC7CB7A3023B}" name="Wk 39 2026" dataDxfId="509"/>
    <tableColumn id="75" xr3:uid="{F723C8D0-D8C1-42E1-BD33-E046191D32FC}" name="Wk 40 2026" dataDxfId="508"/>
    <tableColumn id="76" xr3:uid="{6B5AD89D-E0AB-4AAE-A980-119A8B92E3B6}" name="Wk 41 2026" dataDxfId="507"/>
    <tableColumn id="77" xr3:uid="{B3DFB992-C284-480B-A932-68F1E3BAA1F1}" name="Wk 42 2026" dataDxfId="506"/>
    <tableColumn id="78" xr3:uid="{AF8D3D15-C719-41F6-A7B3-49DC7942AEBA}" name="Wk 43 2026" dataDxfId="505"/>
    <tableColumn id="79" xr3:uid="{53F8DB87-1D36-4550-8E4A-254AFAFA3339}" name="Wk 44 2026" dataDxfId="504"/>
    <tableColumn id="80" xr3:uid="{43B071E7-D7BF-4B02-8D7B-C324F1E62544}" name="Wk 45 2026" dataDxfId="503"/>
    <tableColumn id="81" xr3:uid="{6D73DCF7-69D1-44D6-BE42-2644FC05A976}" name="Wk 46 2026" dataDxfId="502"/>
    <tableColumn id="82" xr3:uid="{407A00F3-B635-4B5C-B192-07496436E40B}" name="Wk 47 2026" dataDxfId="501"/>
    <tableColumn id="83" xr3:uid="{A84AA1C8-5D88-4E2D-95CE-9E3A10456C9C}" name="Wk 48 2026" dataDxfId="500"/>
    <tableColumn id="84" xr3:uid="{23F810B7-D1C3-4A18-9C25-1C19D01CF258}" name="Wk 49 2026" dataDxfId="499"/>
    <tableColumn id="85" xr3:uid="{5C2AB52B-D93A-4447-81C5-CBA70222893C}" name="Wk 50 2026" dataDxfId="498"/>
    <tableColumn id="86" xr3:uid="{22AFCD3C-D466-4832-828D-19411BAA244C}" name="Wk 51 2026" dataDxfId="497"/>
    <tableColumn id="87" xr3:uid="{0261B616-7060-407D-8580-0BF44181D661}" name="Wk 52 2026" dataDxfId="49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F6AA2-3B85-49C0-93EF-6D62990D7D3D}" name="tblActualsTransits" displayName="tblActualsTransits" ref="B12:CJ18" totalsRowShown="0">
  <autoFilter ref="B12:CJ18" xr:uid="{AF2F6AA2-3B85-49C0-93EF-6D62990D7D3D}"/>
  <tableColumns count="87">
    <tableColumn id="1" xr3:uid="{E3DA8C1F-9109-4FE4-8F24-679F193AB1C7}" name="MP" dataDxfId="495"/>
    <tableColumn id="2" xr3:uid="{E026F489-918C-4CC7-A266-2BF2D84F6B52}" name="Wk19 2025" dataDxfId="494"/>
    <tableColumn id="3" xr3:uid="{18E7FAA1-EF17-4B30-9AA5-A04B3BF2276D}" name="Wk20 2025" dataDxfId="493"/>
    <tableColumn id="4" xr3:uid="{877B0054-B084-422D-AFAA-630A6454561F}" name="Wk21 2025" dataDxfId="492"/>
    <tableColumn id="5" xr3:uid="{CA37F9BC-A31E-4EE3-ABC7-670299FF0E9C}" name="Wk22 2025" dataDxfId="491"/>
    <tableColumn id="6" xr3:uid="{546BD560-251E-4C36-A8FD-D89903CB07B7}" name="Wk23 2025" dataDxfId="490"/>
    <tableColumn id="7" xr3:uid="{73F9F261-C5C5-4E3F-9792-DF464514CACF}" name="Wk24 2025"/>
    <tableColumn id="8" xr3:uid="{D81B9DC7-A9EC-42C5-AF83-E3C59E37DA58}" name="Wk25 2025"/>
    <tableColumn id="9" xr3:uid="{02EB5DE8-213C-493A-B9E2-BE9CC91D979D}" name="Wk26 2025"/>
    <tableColumn id="10" xr3:uid="{7E3AC319-58AD-4C4F-ACA5-7E46DE404C40}" name="Wk27 2025"/>
    <tableColumn id="11" xr3:uid="{2569E595-EDAA-4792-B02F-E8B7FEAD8221}" name="Wk28 2025"/>
    <tableColumn id="12" xr3:uid="{66D1373E-47C2-430A-910A-A3D0D4D76818}" name="Wk29 2025"/>
    <tableColumn id="13" xr3:uid="{DD239BDA-F90F-480A-8E4D-73223CCCC52F}" name="Wk30 2025"/>
    <tableColumn id="14" xr3:uid="{82ED1835-6776-44CC-AB28-CB1C6A582013}" name="Wk31 2025"/>
    <tableColumn id="15" xr3:uid="{9040986A-A4A9-4207-87C9-92ACB934E435}" name="Wk32 2025"/>
    <tableColumn id="16" xr3:uid="{0ABEF4DC-8A3B-4894-A09E-CD552AF80266}" name="Wk33 2025"/>
    <tableColumn id="17" xr3:uid="{51100371-7473-474C-BC13-499FAC9E41B9}" name="Wk34 2025"/>
    <tableColumn id="18" xr3:uid="{F298A6FD-30DE-448E-9A1C-ACE1E450A7FD}" name="Wk35 2025"/>
    <tableColumn id="19" xr3:uid="{25C97E99-71E7-4268-9F68-63008E9FE76B}" name="Wk36 2025"/>
    <tableColumn id="20" xr3:uid="{BF9640D8-903A-4F95-8D38-4513A65B7054}" name="Wk37 2025"/>
    <tableColumn id="21" xr3:uid="{D443E079-1A8D-4B36-BCA5-69455AD64B53}" name="Wk38 2025"/>
    <tableColumn id="22" xr3:uid="{F77B4DED-7860-46DF-8C68-2A7CC8852EBC}" name="Wk39 2025"/>
    <tableColumn id="23" xr3:uid="{B26205EF-14E9-4DD1-9C3A-C94A1ED3A259}" name="Wk40 2025" dataDxfId="489"/>
    <tableColumn id="24" xr3:uid="{4E8B04B3-5B41-4D68-9275-B413B0485146}" name="Wk41 2025" dataDxfId="488"/>
    <tableColumn id="25" xr3:uid="{62CF15B3-EAFE-4A97-844E-A4065946591D}" name="Wk42 2025" dataDxfId="487"/>
    <tableColumn id="26" xr3:uid="{D4B6DD7F-CC54-48FE-AC7E-89776AB8C5FE}" name="Wk43 2025" dataDxfId="486"/>
    <tableColumn id="27" xr3:uid="{10941D27-8F64-4156-BDFD-C56CE3FC2163}" name="Wk44 2025" dataDxfId="485"/>
    <tableColumn id="28" xr3:uid="{F64445E6-4172-4FAA-9E8F-FC3137C4832F}" name="Wk45 2025" dataDxfId="484"/>
    <tableColumn id="29" xr3:uid="{8151F958-E7EA-4B9D-863B-C57080849EC2}" name="Wk46 2025" dataDxfId="483"/>
    <tableColumn id="30" xr3:uid="{6C4DCFBC-E342-48F3-B774-80A0DCFAAEE1}" name="Wk47 2025" dataDxfId="482"/>
    <tableColumn id="31" xr3:uid="{49227077-12C2-4DAB-8607-6A807925F88B}" name="Wk48 2025" dataDxfId="481"/>
    <tableColumn id="32" xr3:uid="{B4B9AAEB-CC82-4FD1-B714-8BCB374A521A}" name="Wk49 2025" dataDxfId="480"/>
    <tableColumn id="33" xr3:uid="{5A90B961-E796-4C65-BA99-43EDB17D4EDA}" name="Wk50 2025" dataDxfId="479"/>
    <tableColumn id="34" xr3:uid="{D4AFF83E-AD4D-4FDA-AF87-34821AEAD64D}" name="Wk51 2025" dataDxfId="478"/>
    <tableColumn id="35" xr3:uid="{14FD9D8B-7FB6-494F-A6B3-D6B972357258}" name="Wk52 2025" dataDxfId="477"/>
    <tableColumn id="36" xr3:uid="{442148C4-4271-4EED-ABAD-A34D33D9926F}" name="Wk 1 2026" dataDxfId="476"/>
    <tableColumn id="37" xr3:uid="{11B60504-DD63-4937-94FB-2D4A06DEF060}" name="Wk 2 2026" dataDxfId="475"/>
    <tableColumn id="38" xr3:uid="{BD06E569-07F1-4FC6-BF94-B704212DCE2B}" name="Wk 3 2026" dataDxfId="474"/>
    <tableColumn id="39" xr3:uid="{CA87DDE3-6416-454C-9D7E-CC5790CB690F}" name="Wk 4 2026" dataDxfId="473"/>
    <tableColumn id="40" xr3:uid="{6EEF7AA1-9CFA-4D53-A58B-F48937239DEE}" name="Wk 5 2026" dataDxfId="472"/>
    <tableColumn id="41" xr3:uid="{46401BB9-07EB-44E4-B399-4F2C970136E1}" name="Wk 6 2026" dataDxfId="471"/>
    <tableColumn id="42" xr3:uid="{95245AC5-7323-4BAD-AD8F-8530AABAB90F}" name="Wk 7 2026" dataDxfId="470"/>
    <tableColumn id="43" xr3:uid="{5EE0D4E5-69C9-438F-98EF-E3C4D74E829D}" name="Wk 8 2026" dataDxfId="469"/>
    <tableColumn id="44" xr3:uid="{AA0A71B5-4607-4776-9EF0-970C84C0E11D}" name="Wk 9 2026" dataDxfId="468"/>
    <tableColumn id="45" xr3:uid="{E6E6DBB9-44EE-4B71-A5A2-EA40CCF528A7}" name="Wk 10 2026" dataDxfId="467"/>
    <tableColumn id="46" xr3:uid="{ACE31F9D-6F4E-4E84-B7CC-F5EB5C471259}" name="Wk 11 2026" dataDxfId="466"/>
    <tableColumn id="47" xr3:uid="{65201ADE-1F38-499B-99F3-4CD9E250EB01}" name="Wk 12 2026" dataDxfId="465"/>
    <tableColumn id="48" xr3:uid="{572C4DC1-4AD6-4F4D-83FA-6A030761102C}" name="Wk 13 2026" dataDxfId="464"/>
    <tableColumn id="49" xr3:uid="{4557144E-A735-4EDF-86B1-D93604944B45}" name="Wk 14 2026" dataDxfId="463"/>
    <tableColumn id="50" xr3:uid="{5EFA0D92-D65E-49B8-9DE4-A3ABD131057D}" name="Wk 15 2026" dataDxfId="462"/>
    <tableColumn id="51" xr3:uid="{30D2A5ED-B5F4-4F35-81B0-024D0F17C7F7}" name="Wk 16 2026" dataDxfId="461"/>
    <tableColumn id="52" xr3:uid="{A9C850FC-31FE-433E-8223-7E0714A09E3F}" name="Wk 17 2026" dataDxfId="460"/>
    <tableColumn id="53" xr3:uid="{E7DCE4A6-FAF8-43A8-84A4-9836532DCE16}" name="Wk 18 2026" dataDxfId="459"/>
    <tableColumn id="54" xr3:uid="{16C4AC0B-3AA0-470A-A748-73654B61A92C}" name="Wk 19 2026" dataDxfId="458"/>
    <tableColumn id="55" xr3:uid="{3E03351C-A883-462F-B3DC-42CD76734667}" name="Wk 20 2026" dataDxfId="457"/>
    <tableColumn id="56" xr3:uid="{111A8410-AE9C-4792-B0A8-894D8F0F26C0}" name="Wk 21 2026" dataDxfId="456"/>
    <tableColumn id="57" xr3:uid="{0362EDB7-6B20-4890-863C-B0FD1C04F93B}" name="Wk 22 2026" dataDxfId="455"/>
    <tableColumn id="58" xr3:uid="{8C3E4134-A7C2-42F5-B34C-3A889A9F1412}" name="Wk 23 2026" dataDxfId="454"/>
    <tableColumn id="59" xr3:uid="{51D857B9-8DF2-40EB-B685-4B3083C00D81}" name="Wk 24 2026" dataDxfId="453"/>
    <tableColumn id="60" xr3:uid="{8AB833B8-A264-4BC9-A613-5A8424E84554}" name="Wk 25 2026" dataDxfId="452"/>
    <tableColumn id="61" xr3:uid="{E3A4361D-040A-4BF4-9067-0848206C05DA}" name="Wk 26 2026" dataDxfId="451"/>
    <tableColumn id="62" xr3:uid="{5761BEE7-9629-4E91-B703-AE2D19CF8013}" name="Wk 27 2026" dataDxfId="450"/>
    <tableColumn id="63" xr3:uid="{70065DA2-F065-4E86-81F7-ACF9FFF2A01A}" name="Wk 28 2026" dataDxfId="449"/>
    <tableColumn id="64" xr3:uid="{BEDF1643-1916-4719-BCE4-2D3321BAF7C7}" name="Wk 29 2026" dataDxfId="448"/>
    <tableColumn id="65" xr3:uid="{5336462A-C484-4DC0-AB1C-F03C5DB3DE0F}" name="Wk 30 2026" dataDxfId="447"/>
    <tableColumn id="66" xr3:uid="{4BDEC5F9-20DA-4CCF-8B5A-742FEA192E85}" name="Wk 31 2026" dataDxfId="446"/>
    <tableColumn id="67" xr3:uid="{291B5CB3-F692-43FA-819A-F319D37CCDDE}" name="Wk 32 2026" dataDxfId="445"/>
    <tableColumn id="68" xr3:uid="{2163603E-7D1E-47DB-88DA-2C8CC973F723}" name="Wk 33 2026" dataDxfId="444"/>
    <tableColumn id="69" xr3:uid="{3B499C30-E189-45A4-B3B6-4EF44EE5FD7F}" name="Wk 34 2026" dataDxfId="443"/>
    <tableColumn id="70" xr3:uid="{B95C85AD-B5AA-48AB-BB10-5E0558FD3022}" name="Wk 35 2026" dataDxfId="442"/>
    <tableColumn id="71" xr3:uid="{D118CFC2-27B6-4806-824D-3093FB03C4C6}" name="Wk 36 2026" dataDxfId="441"/>
    <tableColumn id="72" xr3:uid="{25EFA270-FF47-49BC-A1B7-0D21B54579DF}" name="Wk 37 2026" dataDxfId="440"/>
    <tableColumn id="73" xr3:uid="{19F55CE1-2B13-4271-8428-C233DFFE07D8}" name="Wk 38 2026" dataDxfId="439"/>
    <tableColumn id="74" xr3:uid="{4B36CD4A-6E63-4181-B3D5-A5CE66E1DA9F}" name="Wk 39 2026" dataDxfId="438"/>
    <tableColumn id="75" xr3:uid="{D8A64CDC-14A7-4AF9-B3E7-C65BBCDF3171}" name="Wk 40 2026" dataDxfId="437"/>
    <tableColumn id="76" xr3:uid="{BDB569E9-40D8-4335-B699-4F10D11CD341}" name="Wk 41 2026" dataDxfId="436"/>
    <tableColumn id="77" xr3:uid="{2E41A7AB-5341-4688-B5CD-AFEF651DF3AA}" name="Wk 42 2026" dataDxfId="435"/>
    <tableColumn id="78" xr3:uid="{16B3987D-76E5-40F6-9B80-56F08BC13B1C}" name="Wk 43 2026" dataDxfId="434"/>
    <tableColumn id="79" xr3:uid="{047842C3-68C0-4214-82ED-70957E66DB4E}" name="Wk 44 2026" dataDxfId="433"/>
    <tableColumn id="80" xr3:uid="{5075A64F-88BC-4E73-885D-04A7B8F23CA9}" name="Wk 45 2026" dataDxfId="432"/>
    <tableColumn id="81" xr3:uid="{FC6545C1-7C0A-403C-B077-B0F964CE81CA}" name="Wk 46 2026" dataDxfId="431"/>
    <tableColumn id="82" xr3:uid="{7D2EECE4-68D2-4455-AE18-8DC628DF1FED}" name="Wk 47 2026" dataDxfId="430"/>
    <tableColumn id="83" xr3:uid="{71CD6BB7-F3CE-466A-8E17-4A13F7D3650D}" name="Wk 48 2026" dataDxfId="429"/>
    <tableColumn id="84" xr3:uid="{D6CDBF70-A69F-4163-80DF-EE7D03FAFB88}" name="Wk 49 2026" dataDxfId="428"/>
    <tableColumn id="85" xr3:uid="{87EA7AB9-9593-4DCD-9A17-C309207ED5FF}" name="Wk 50 2026" dataDxfId="427"/>
    <tableColumn id="86" xr3:uid="{12CE7E2F-5DBB-4CE7-BCAD-AF074BAD5DBB}" name="Wk 51 2026" dataDxfId="426"/>
    <tableColumn id="87" xr3:uid="{39A1509C-0384-4DEA-A35F-9738B236382F}" name="Wk 52 2026" dataDxfId="4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4A8E4D-A3EA-4F8D-87A1-91E37E9EDB1D}" name="tblActualsConversion" displayName="tblActualsConversion" ref="B21:CJ27" totalsRowShown="0" headerRowDxfId="424" dataDxfId="423">
  <autoFilter ref="B21:CJ27" xr:uid="{D94A8E4D-A3EA-4F8D-87A1-91E37E9EDB1D}"/>
  <tableColumns count="87">
    <tableColumn id="1" xr3:uid="{5BCA36AD-5ED6-4BD2-82C6-9514EB6C8E39}" name="MP" dataDxfId="422"/>
    <tableColumn id="2" xr3:uid="{E0B512F1-81AA-4777-83A7-91B19281DC01}" name="Wk19 2025" dataDxfId="421"/>
    <tableColumn id="3" xr3:uid="{ADF0495B-64C9-464F-B4F1-1B999F877A70}" name="Wk20 2025" dataDxfId="420"/>
    <tableColumn id="4" xr3:uid="{AAA28000-BBB9-43B0-96A2-F14F4115A44F}" name="Wk21 2025" dataDxfId="419"/>
    <tableColumn id="5" xr3:uid="{867C7A38-1F05-48EC-9E45-D81120B87575}" name="Wk22 2025" dataDxfId="418"/>
    <tableColumn id="6" xr3:uid="{FE9E06F2-6DEF-4E69-B058-76BAAFA9E597}" name="Wk23 2025" dataDxfId="417"/>
    <tableColumn id="7" xr3:uid="{0ECB0B5E-176D-4229-A87A-C2A41E188E14}" name="Wk24 2025" dataDxfId="416"/>
    <tableColumn id="8" xr3:uid="{C3FE39BE-3AA1-47B1-BB14-DB9B5D06E3D4}" name="Wk25 2025" dataDxfId="415"/>
    <tableColumn id="9" xr3:uid="{E15F5E82-567D-4EA7-B0FF-0F0F5AA4EF07}" name="Wk26 2025" dataDxfId="414"/>
    <tableColumn id="10" xr3:uid="{2F64D629-5535-490F-8B73-7C5E5946C95C}" name="Wk27 2025" dataDxfId="413"/>
    <tableColumn id="11" xr3:uid="{A7D2AA51-7E39-45EC-A1AF-3AD0ED7B4FEB}" name="Wk28 2025" dataDxfId="412"/>
    <tableColumn id="12" xr3:uid="{5877E484-4A49-4F53-8DAD-69FC96E3C88B}" name="Wk29 2025" dataDxfId="411"/>
    <tableColumn id="13" xr3:uid="{35F7EC93-39F3-424E-A574-8491DA11C419}" name="Wk30 2025" dataDxfId="410"/>
    <tableColumn id="14" xr3:uid="{D12E41AC-2CF4-45BF-BA33-6541F8092902}" name="Wk31 2025" dataDxfId="409"/>
    <tableColumn id="15" xr3:uid="{AC2E1D16-8999-4552-AFCA-093F0E20266C}" name="Wk32 2025" dataDxfId="408"/>
    <tableColumn id="16" xr3:uid="{B0ECF92A-CEE6-42ED-994E-7CEC6ED0C3FF}" name="Wk33 2025" dataDxfId="407"/>
    <tableColumn id="17" xr3:uid="{252E88F5-331D-4D1D-A862-965D7EE83B14}" name="Wk34 2025" dataDxfId="406"/>
    <tableColumn id="18" xr3:uid="{3F1619A4-1F4A-4AA3-B78F-CC17B4219BF7}" name="Wk35 2025" dataDxfId="405"/>
    <tableColumn id="19" xr3:uid="{D37CF251-9CBA-47CF-90F3-9832F6491757}" name="Wk36 2025" dataDxfId="404"/>
    <tableColumn id="20" xr3:uid="{2B42A392-F058-4B55-840D-45F390CA40BD}" name="Wk37 2025" dataDxfId="403"/>
    <tableColumn id="21" xr3:uid="{F8B2B06E-1C89-4881-B690-FDA929360DE4}" name="Wk38 2025" dataDxfId="402"/>
    <tableColumn id="22" xr3:uid="{984EE42D-9ECD-4A41-ABB7-77EFB728499E}" name="Wk39 2025" dataDxfId="401"/>
    <tableColumn id="23" xr3:uid="{D783F65F-027D-40A3-930F-1ABE09D70996}" name="Wk40 2025" dataDxfId="400" dataCellStyle="Percent"/>
    <tableColumn id="24" xr3:uid="{B1150C25-BBE4-4842-9B98-8CEB5DBE6AB1}" name="Wk41 2025" dataDxfId="399" dataCellStyle="Percent"/>
    <tableColumn id="25" xr3:uid="{264979D8-1A3C-4E70-BF08-BCA8F44DD4E9}" name="Wk42 2025" dataDxfId="398" dataCellStyle="Percent"/>
    <tableColumn id="26" xr3:uid="{7E03177B-2FD1-48AD-8020-48B71FDE6168}" name="Wk43 2025" dataDxfId="397" dataCellStyle="Percent"/>
    <tableColumn id="27" xr3:uid="{47463794-0CBF-48E7-8A49-18A15ED419B1}" name="Wk44 2025" dataDxfId="396" dataCellStyle="Percent"/>
    <tableColumn id="28" xr3:uid="{6D71255E-0304-4768-B806-1C188309AC23}" name="Wk45 2025" dataDxfId="395" dataCellStyle="Percent"/>
    <tableColumn id="29" xr3:uid="{7B2ABC70-6901-4C50-9545-797DA7521C0A}" name="Wk46 2025" dataDxfId="394" dataCellStyle="Percent"/>
    <tableColumn id="30" xr3:uid="{82BAECB3-50F7-49AE-BA46-AE7F37B085F7}" name="Wk47 2025" dataDxfId="393" dataCellStyle="Percent"/>
    <tableColumn id="31" xr3:uid="{2764F785-0591-433A-959E-348BC8C85FB1}" name="Wk48 2025" dataDxfId="392" dataCellStyle="Percent"/>
    <tableColumn id="32" xr3:uid="{5C934707-29EC-42D2-8D2C-B4160115F94D}" name="Wk49 2025" dataDxfId="391" dataCellStyle="Percent"/>
    <tableColumn id="33" xr3:uid="{2DC6649A-600D-4B9A-B55D-8C8AD53DE891}" name="Wk50 2025" dataDxfId="390" dataCellStyle="Percent"/>
    <tableColumn id="34" xr3:uid="{59F6FC88-B0E8-4E7F-BC1F-8926D8DB3525}" name="Wk51 2025" dataDxfId="389" dataCellStyle="Percent"/>
    <tableColumn id="35" xr3:uid="{20AC0F5D-7547-431A-A70C-0C9ED683E230}" name="Wk52 2025" dataDxfId="388" dataCellStyle="Percent"/>
    <tableColumn id="36" xr3:uid="{36F0C266-29AD-4FF9-B5F6-98E9E45CB123}" name="Wk 1 2026" dataDxfId="387" dataCellStyle="Percent"/>
    <tableColumn id="37" xr3:uid="{338F823B-1750-4E1B-8067-969D7F77D0FF}" name="Wk 2 2026" dataDxfId="386" dataCellStyle="Percent"/>
    <tableColumn id="38" xr3:uid="{21594A9B-C8AF-47BE-8004-34E3369173DE}" name="Wk 3 2026" dataDxfId="385" dataCellStyle="Percent"/>
    <tableColumn id="39" xr3:uid="{D5F2887D-0DD4-4D96-9934-12684CBE26AF}" name="Wk 4 2026" dataDxfId="384" dataCellStyle="Percent"/>
    <tableColumn id="40" xr3:uid="{FD966E31-4260-43EC-AD95-18BC9C146A4D}" name="Wk 5 2026" dataDxfId="383" dataCellStyle="Percent"/>
    <tableColumn id="41" xr3:uid="{3E17D987-866E-4E6B-898A-E56A11ACA7BE}" name="Wk 6 2026" dataDxfId="382" dataCellStyle="Percent"/>
    <tableColumn id="42" xr3:uid="{F695E36B-28E0-4EEC-B21A-45718DE82759}" name="Wk 7 2026" dataDxfId="381" dataCellStyle="Percent"/>
    <tableColumn id="43" xr3:uid="{3C5FA813-A8E5-42D2-8E1C-65F19FEB108D}" name="Wk 8 2026" dataDxfId="380" dataCellStyle="Percent"/>
    <tableColumn id="44" xr3:uid="{40450379-2F63-42C8-BDE4-CC381D409F01}" name="Wk 9 2026" dataDxfId="379" dataCellStyle="Percent"/>
    <tableColumn id="45" xr3:uid="{959A18B3-226B-47B6-AC9D-324E60AB7335}" name="Wk 10 2026" dataDxfId="378" dataCellStyle="Percent"/>
    <tableColumn id="46" xr3:uid="{718656E3-6EAB-4FEE-9805-4D7E7CA08D95}" name="Wk 11 2026" dataDxfId="377" dataCellStyle="Percent"/>
    <tableColumn id="47" xr3:uid="{F4EED23F-2153-4495-93A6-0AE6352E93D2}" name="Wk 12 2026" dataDxfId="376" dataCellStyle="Percent"/>
    <tableColumn id="48" xr3:uid="{50D6A3A5-3656-4E8A-85EC-014541A36615}" name="Wk 13 2026" dataDxfId="375" dataCellStyle="Percent"/>
    <tableColumn id="49" xr3:uid="{7B8CAEA9-E4F7-4AFC-B363-D9DA4DD34E59}" name="Wk 14 2026" dataDxfId="374" dataCellStyle="Percent"/>
    <tableColumn id="50" xr3:uid="{3E150CC9-84DD-4984-BA62-40D2355AA88E}" name="Wk 15 2026" dataDxfId="373" dataCellStyle="Percent"/>
    <tableColumn id="51" xr3:uid="{9DAA22D5-D353-43D8-AEFB-493F9DC3B04E}" name="Wk 16 2026" dataDxfId="372" dataCellStyle="Percent"/>
    <tableColumn id="52" xr3:uid="{3FD7A65B-632E-47FC-9A40-837CDA2763F2}" name="Wk 17 2026" dataDxfId="371" dataCellStyle="Percent"/>
    <tableColumn id="53" xr3:uid="{18D37E87-2462-428E-A1C5-3AF89CBE351B}" name="Wk 18 2026" dataDxfId="370" dataCellStyle="Percent"/>
    <tableColumn id="54" xr3:uid="{759D783E-2251-4AC0-BEAD-70CE7CA973E8}" name="Wk 19 2026" dataDxfId="369" dataCellStyle="Percent"/>
    <tableColumn id="55" xr3:uid="{189BFD1D-5F97-4032-9626-96C1DD1ABF89}" name="Wk 20 2026" dataDxfId="368" dataCellStyle="Percent"/>
    <tableColumn id="56" xr3:uid="{C4EF5625-E6E2-403E-A0A0-D31419673640}" name="Wk 21 2026" dataDxfId="367" dataCellStyle="Percent"/>
    <tableColumn id="57" xr3:uid="{8555CA77-8EFB-4CA3-B5EF-7217EBF33553}" name="Wk 22 2026" dataDxfId="366" dataCellStyle="Percent"/>
    <tableColumn id="58" xr3:uid="{C01E6A09-AB75-4A53-82BE-C0D77347E41B}" name="Wk 23 2026" dataDxfId="365" dataCellStyle="Percent"/>
    <tableColumn id="59" xr3:uid="{80901ADD-FB23-458E-A355-FA8531334766}" name="Wk 24 2026" dataDxfId="364" dataCellStyle="Percent"/>
    <tableColumn id="60" xr3:uid="{BEB995A6-53E6-4C56-9FCE-24C39723C622}" name="Wk 25 2026" dataDxfId="363" dataCellStyle="Percent"/>
    <tableColumn id="61" xr3:uid="{905B51AE-0664-4B76-A24B-7F74A047D11F}" name="Wk 26 2026" dataDxfId="362" dataCellStyle="Percent"/>
    <tableColumn id="62" xr3:uid="{6C89C269-10B4-4202-89E8-1DE1D3BF3C08}" name="Wk 27 2026" dataDxfId="361" dataCellStyle="Percent"/>
    <tableColumn id="63" xr3:uid="{72C7ACA0-0D3B-4C6D-BE88-EE8728D56C1B}" name="Wk 28 2026" dataDxfId="360" dataCellStyle="Percent"/>
    <tableColumn id="64" xr3:uid="{D0F1B34E-B2D8-4CA2-B633-4BD4E8D7E676}" name="Wk 29 2026" dataDxfId="359" dataCellStyle="Percent"/>
    <tableColumn id="65" xr3:uid="{164D3D6B-4F1C-47BC-8C3A-42D8B0DACD02}" name="Wk 30 2026" dataDxfId="358" dataCellStyle="Percent"/>
    <tableColumn id="66" xr3:uid="{02BF2A00-88FD-4084-B2E6-9446A001CC43}" name="Wk 31 2026" dataDxfId="357" dataCellStyle="Percent"/>
    <tableColumn id="67" xr3:uid="{C5EFD435-0242-4482-9D98-D4CC41A6A7AF}" name="Wk 32 2026" dataDxfId="356" dataCellStyle="Percent"/>
    <tableColumn id="68" xr3:uid="{1CE6F0BC-F07B-405D-90AE-CC1C4F8ADF52}" name="Wk 33 2026" dataDxfId="355" dataCellStyle="Percent"/>
    <tableColumn id="69" xr3:uid="{2A3A92FD-16CC-4105-959F-64B83C997902}" name="Wk 34 2026" dataDxfId="354" dataCellStyle="Percent"/>
    <tableColumn id="70" xr3:uid="{8116DA30-D266-4207-ACE3-7C14945389DA}" name="Wk 35 2026" dataDxfId="353" dataCellStyle="Percent"/>
    <tableColumn id="71" xr3:uid="{CAECEBB9-A748-4769-857B-3342E4C729FF}" name="Wk 36 2026" dataDxfId="352" dataCellStyle="Percent"/>
    <tableColumn id="72" xr3:uid="{8CB2587A-2C8D-4A3E-BBB2-D6E711E52ED2}" name="Wk 37 2026" dataDxfId="351" dataCellStyle="Percent"/>
    <tableColumn id="73" xr3:uid="{71C06ADC-AA5D-4D8E-9311-76770D90E06C}" name="Wk 38 2026" dataDxfId="350" dataCellStyle="Percent"/>
    <tableColumn id="74" xr3:uid="{48198F49-F131-4C76-A1D2-27CA0FD939FD}" name="Wk 39 2026" dataDxfId="349" dataCellStyle="Percent"/>
    <tableColumn id="75" xr3:uid="{5D0AB91D-9077-4870-958C-030B842625A4}" name="Wk 40 2026" dataDxfId="348" dataCellStyle="Percent"/>
    <tableColumn id="76" xr3:uid="{E5775D4C-09A6-4222-9DCC-7844B3E81D90}" name="Wk 41 2026" dataDxfId="347" dataCellStyle="Percent"/>
    <tableColumn id="77" xr3:uid="{C1BF29EC-BACC-454D-ABEC-E327A1CA30C3}" name="Wk 42 2026" dataDxfId="346" dataCellStyle="Percent"/>
    <tableColumn id="78" xr3:uid="{19E0BAB5-42D8-4B8E-AA57-D0E3F9A7C34E}" name="Wk 43 2026" dataDxfId="345" dataCellStyle="Percent"/>
    <tableColumn id="79" xr3:uid="{BB9CE3BE-C0D0-49D9-BD2A-9FAEEEB31D6D}" name="Wk 44 2026" dataDxfId="344" dataCellStyle="Percent"/>
    <tableColumn id="80" xr3:uid="{30D70071-2E17-4433-BAEC-65EC8EC8D3E9}" name="Wk 45 2026" dataDxfId="343" dataCellStyle="Percent"/>
    <tableColumn id="81" xr3:uid="{E63760E7-9CC6-4AAC-8114-7FBAE4AA0B55}" name="Wk 46 2026" dataDxfId="342" dataCellStyle="Percent"/>
    <tableColumn id="82" xr3:uid="{21ACBE91-92F3-457E-B81E-FFF488FDE917}" name="Wk 47 2026" dataDxfId="341" dataCellStyle="Percent"/>
    <tableColumn id="83" xr3:uid="{437FA868-1251-45EB-ABBD-1C60F4AFB117}" name="Wk 48 2026" dataDxfId="340" dataCellStyle="Percent"/>
    <tableColumn id="84" xr3:uid="{16C16432-FBA2-4A1E-9070-92F4447C89E1}" name="Wk 49 2026" dataDxfId="339" dataCellStyle="Percent"/>
    <tableColumn id="85" xr3:uid="{88BD1C03-0653-480B-826D-EFF52AC09DC1}" name="Wk 50 2026" dataDxfId="338" dataCellStyle="Percent"/>
    <tableColumn id="86" xr3:uid="{6F6ABEE0-3EDF-4F28-AF74-86A5B8128E83}" name="Wk 51 2026" dataDxfId="337" dataCellStyle="Percent"/>
    <tableColumn id="87" xr3:uid="{12A48B29-AF32-4A2A-B981-6338D988BBA3}" name="Wk 52 2026" dataDxfId="336" dataCellStyl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6F49BD4-75F0-4473-95EA-5C04AC2064EC}" name="tblForecastUnits24" displayName="tblForecastUnits24" ref="B3:CJ9" totalsRowShown="0">
  <autoFilter ref="B3:CJ9" xr:uid="{2A414008-DF59-43C9-8348-52F1634C1FFE}"/>
  <sortState xmlns:xlrd2="http://schemas.microsoft.com/office/spreadsheetml/2017/richdata2" ref="B4:AK9">
    <sortCondition ref="D3:D9"/>
  </sortState>
  <tableColumns count="87">
    <tableColumn id="1" xr3:uid="{6F7AD7A3-0B00-4DE0-8395-BF95BFCFC306}" name="MP"/>
    <tableColumn id="2" xr3:uid="{82AE0BF2-643C-47C7-A295-BF7F2E090858}" name="Wk19 2025" dataDxfId="335"/>
    <tableColumn id="3" xr3:uid="{D1A45108-D473-4B17-AF60-98FCC7B30E60}" name="Wk20 2025" dataDxfId="334"/>
    <tableColumn id="4" xr3:uid="{64169490-74A4-4F4B-8C39-B12C54B05546}" name="Wk21 2025" dataDxfId="333"/>
    <tableColumn id="5" xr3:uid="{0633B441-4546-4F48-B71F-3D03EE2106AB}" name="Wk22 2025" dataDxfId="332"/>
    <tableColumn id="6" xr3:uid="{D2073EA0-C84D-451D-AEC0-DC18EAA20496}" name="Wk23 2025" dataDxfId="331"/>
    <tableColumn id="7" xr3:uid="{44955FBC-F8D7-4ACD-B86F-38D1D8AE6408}" name="Wk24 2025" dataDxfId="330"/>
    <tableColumn id="8" xr3:uid="{E14795C9-BC98-4465-880D-B83B173A7FAD}" name="Wk25 2025" dataDxfId="329"/>
    <tableColumn id="9" xr3:uid="{64C9C2E1-4EBC-4BB2-999F-2F014584D5DD}" name="Wk26 2025" dataDxfId="328"/>
    <tableColumn id="10" xr3:uid="{79022431-D70F-4BFF-A33B-3A15A0DF8200}" name="Wk27 2025" dataDxfId="327"/>
    <tableColumn id="11" xr3:uid="{992EDDF4-BC56-4158-A699-5DE2FD1BDBEF}" name="Wk28 2025" dataDxfId="326"/>
    <tableColumn id="12" xr3:uid="{B95F51E2-765E-4B30-B288-C20129A915AB}" name="Wk29 2025" dataDxfId="325"/>
    <tableColumn id="13" xr3:uid="{8352C3BE-8A8C-452B-BDBB-B3D4AA723795}" name="Wk30 2025" dataDxfId="324"/>
    <tableColumn id="14" xr3:uid="{3D2CC433-074B-44BB-9600-3B9A96817DB3}" name="Wk31 2025" dataDxfId="323"/>
    <tableColumn id="15" xr3:uid="{1CBC213C-0913-4ACF-A9EA-403F43DDC321}" name="Wk32 2025" dataDxfId="322"/>
    <tableColumn id="16" xr3:uid="{80B01D3F-F5F4-4EAE-8D58-0592585472FD}" name="Wk33 2025" dataDxfId="321"/>
    <tableColumn id="17" xr3:uid="{F8804579-0EFF-4577-A7E2-4B107966C748}" name="Wk34 2025" dataDxfId="320"/>
    <tableColumn id="18" xr3:uid="{9CD12014-3DC6-4EB5-8989-2A80D3B3DB9C}" name="Wk35 2025" dataDxfId="319"/>
    <tableColumn id="19" xr3:uid="{DD728F30-644B-4534-92B2-B4FD8B75021B}" name="Wk36 2025" dataDxfId="318"/>
    <tableColumn id="20" xr3:uid="{09E0B769-20D5-4B93-8631-D012F554AA7E}" name="Wk37 2025" dataDxfId="317"/>
    <tableColumn id="21" xr3:uid="{2C9E2965-EF47-4023-B252-3874AA50BE57}" name="Wk38 2025" dataDxfId="316"/>
    <tableColumn id="22" xr3:uid="{1F700844-D8D7-4D3A-A3D5-62DD7273CB7F}" name="Wk39 2025" dataDxfId="315"/>
    <tableColumn id="23" xr3:uid="{1CFD1B1A-F41A-4886-91E4-788C3F16ED83}" name="Wk40 2025" dataDxfId="314"/>
    <tableColumn id="24" xr3:uid="{8998402E-2604-4177-9891-12012C80FFC3}" name="Wk41 2025" dataDxfId="313"/>
    <tableColumn id="25" xr3:uid="{B32BF0EB-CFB8-4205-AF74-D140A89DB6EB}" name="Wk42 2025" dataDxfId="312"/>
    <tableColumn id="26" xr3:uid="{8FF2928C-9A47-4EDD-BE8B-93C3B8B6CD3F}" name="Wk43 2025" dataDxfId="311"/>
    <tableColumn id="27" xr3:uid="{0FF56462-5727-4D97-B4B7-C886DE4A70BB}" name="Wk44 2025" dataDxfId="310"/>
    <tableColumn id="28" xr3:uid="{050C6E74-83D6-4576-BBD7-17B35AC028A3}" name="Wk45 2025" dataDxfId="309"/>
    <tableColumn id="29" xr3:uid="{D555B4E6-9948-4427-BC22-591177795635}" name="Wk46 2025" dataDxfId="308"/>
    <tableColumn id="30" xr3:uid="{DEEC19EC-977D-4EC4-A0B0-CA508661C303}" name="Wk47 2025" dataDxfId="307"/>
    <tableColumn id="31" xr3:uid="{CAE548B3-2CFA-4DB9-8C63-228F94D909C1}" name="Wk48 2025" dataDxfId="306"/>
    <tableColumn id="32" xr3:uid="{3F320FCA-92BE-4897-BF4C-4F9E36E925EC}" name="Wk49 2025" dataDxfId="305"/>
    <tableColumn id="33" xr3:uid="{31B76E02-88F4-4D39-8B56-6E282B47923E}" name="Wk50 2025" dataDxfId="304"/>
    <tableColumn id="34" xr3:uid="{64443C4E-D44E-4126-991C-CA6E6A3B219C}" name="Wk51 2025" dataDxfId="303"/>
    <tableColumn id="35" xr3:uid="{2353AEB6-B866-43D8-BD87-690FE9C9AD8A}" name="Wk52 2025" dataDxfId="302"/>
    <tableColumn id="36" xr3:uid="{215B08D4-C31A-4DAE-B203-1C7EEEE6312D}" name="Wk 1 2026" dataDxfId="301">
      <calculatedColumnFormula>AK15*AK26*AK37</calculatedColumnFormula>
    </tableColumn>
    <tableColumn id="37" xr3:uid="{BF76241F-CA8C-4532-81F8-FF349C0D3DDB}" name="Wk 2 2026" dataDxfId="300">
      <calculatedColumnFormula>AL15*AL26*AL37</calculatedColumnFormula>
    </tableColumn>
    <tableColumn id="38" xr3:uid="{315932D2-9717-4A68-94B3-0E28B012C763}" name="Wk 3 2026" dataDxfId="299">
      <calculatedColumnFormula>AM15*AM26*AM37</calculatedColumnFormula>
    </tableColumn>
    <tableColumn id="39" xr3:uid="{32F496E4-0F53-4CCC-A06F-7B4AF13E7063}" name="Wk 4 2026" dataDxfId="298">
      <calculatedColumnFormula>AN15*AN26*AN37</calculatedColumnFormula>
    </tableColumn>
    <tableColumn id="40" xr3:uid="{E17B134F-B2B4-4593-91A7-B3BC8653A14E}" name="Wk 5 2026" dataDxfId="297">
      <calculatedColumnFormula>AO15*AO26*AO37</calculatedColumnFormula>
    </tableColumn>
    <tableColumn id="41" xr3:uid="{9903557C-C4BE-4F30-BC67-4EFD77E34CD8}" name="Wk 6 2026" dataDxfId="296">
      <calculatedColumnFormula>AP15*AP26*AP37</calculatedColumnFormula>
    </tableColumn>
    <tableColumn id="42" xr3:uid="{F356BF98-D032-4987-A960-8A06217DF85E}" name="Wk 7 2026" dataDxfId="295">
      <calculatedColumnFormula>AQ15*AQ26*AQ37</calculatedColumnFormula>
    </tableColumn>
    <tableColumn id="43" xr3:uid="{54FC261B-C916-49E1-9164-CAE938C3509E}" name="Wk 8 2026" dataDxfId="294">
      <calculatedColumnFormula>AR15*AR26*AR37</calculatedColumnFormula>
    </tableColumn>
    <tableColumn id="44" xr3:uid="{7973A7F7-2C6E-4E78-BA49-5F0AF268823C}" name="Wk 9 2026" dataDxfId="293">
      <calculatedColumnFormula>AS15*AS26*AS37</calculatedColumnFormula>
    </tableColumn>
    <tableColumn id="45" xr3:uid="{00718727-9536-45D5-A31D-B9A51E6A7670}" name="Wk 10 2026" dataDxfId="292">
      <calculatedColumnFormula>AT15*AT26*AT37</calculatedColumnFormula>
    </tableColumn>
    <tableColumn id="46" xr3:uid="{5558F1C9-6B0F-471F-88A0-3781D6AC7008}" name="Wk 11 2026" dataDxfId="291"/>
    <tableColumn id="47" xr3:uid="{81D07BF5-30B7-4481-B2EA-564548D5F057}" name="Wk 12 2026" dataDxfId="290"/>
    <tableColumn id="48" xr3:uid="{DA2E7AC0-ECC3-4A92-81DE-B3D13A9336D3}" name="Wk 13 2026" dataDxfId="289"/>
    <tableColumn id="49" xr3:uid="{F3FB5C80-0D63-44B2-B201-6BE98CDE8557}" name="Wk 14 2026" dataDxfId="288"/>
    <tableColumn id="50" xr3:uid="{31BE2037-E8D4-46EA-8BDD-462364A69815}" name="Wk 15 2026" dataDxfId="287"/>
    <tableColumn id="51" xr3:uid="{A2BD5682-969C-4ED5-B03A-1A0D2AAB6841}" name="Wk 16 2026" dataDxfId="286"/>
    <tableColumn id="52" xr3:uid="{D4E5776D-1260-4A98-9352-6F6D02EE6EC6}" name="Wk 17 2026" dataDxfId="285"/>
    <tableColumn id="53" xr3:uid="{7838DC5F-AB19-4674-A637-471E81E935C9}" name="Wk 18 2026" dataDxfId="284"/>
    <tableColumn id="54" xr3:uid="{3E47D739-5211-46A8-A682-1B683AED9B06}" name="Wk 19 2026" dataDxfId="283"/>
    <tableColumn id="55" xr3:uid="{6ABF9A2D-D6D0-4FE8-BD36-071136DF4D42}" name="Wk 20 2026" dataDxfId="282"/>
    <tableColumn id="56" xr3:uid="{6F68460E-C749-4E9C-85AC-7ACA683CD5F4}" name="Wk 21 2026" dataDxfId="281"/>
    <tableColumn id="57" xr3:uid="{94023E84-FC5E-4D09-8E87-25D731C1CA53}" name="Wk 22 2026" dataDxfId="280"/>
    <tableColumn id="58" xr3:uid="{D7916816-E553-4F2D-8AA1-8B73AE689CBE}" name="Wk 23 2026" dataDxfId="279"/>
    <tableColumn id="59" xr3:uid="{FB91BBB5-D7BA-4F4C-87E9-19F8E811C8DF}" name="Wk 24 2026" dataDxfId="278"/>
    <tableColumn id="60" xr3:uid="{160E7DB0-160A-4EEC-99A8-7099D5E36A98}" name="Wk 25 2026" dataDxfId="277"/>
    <tableColumn id="61" xr3:uid="{1DF41442-370E-4036-BF10-C41DD3F86F8D}" name="Wk 26 2026" dataDxfId="276"/>
    <tableColumn id="62" xr3:uid="{777383E0-737E-41ED-990E-AA49E980420D}" name="Wk 27 2026" dataDxfId="275"/>
    <tableColumn id="63" xr3:uid="{118EE8B6-61F5-4F11-862F-4F5A9A3F209D}" name="Wk 28 2026" dataDxfId="274"/>
    <tableColumn id="64" xr3:uid="{92636CCD-AE3A-4C24-8EF7-40B16C39CE29}" name="Wk 29 2026" dataDxfId="273"/>
    <tableColumn id="65" xr3:uid="{CA7D1538-48D0-45B3-92D4-EB88707FBC0E}" name="Wk 30 2026" dataDxfId="272"/>
    <tableColumn id="66" xr3:uid="{80C36D3A-590C-4889-B412-79A1060EF41C}" name="Wk 31 2026" dataDxfId="271"/>
    <tableColumn id="67" xr3:uid="{A229E8B6-C900-4967-89CD-263ED049DDEE}" name="Wk 32 2026" dataDxfId="270"/>
    <tableColumn id="68" xr3:uid="{CC75C4AF-50E9-4F08-8A63-B1CD63F7A456}" name="Wk 33 2026" dataDxfId="269"/>
    <tableColumn id="69" xr3:uid="{E00D699B-3BF1-4B96-A41F-1C7D94B04B54}" name="Wk 34 2026" dataDxfId="268"/>
    <tableColumn id="70" xr3:uid="{F058CC15-5D67-4E65-829C-E0DFA3D6E472}" name="Wk 35 2026" dataDxfId="267"/>
    <tableColumn id="71" xr3:uid="{B60EB0D0-64FC-4EE6-BDA5-7E4108469F12}" name="Wk 36 2026" dataDxfId="266"/>
    <tableColumn id="72" xr3:uid="{E526BAC9-2190-4412-BE67-E9CF22014CA4}" name="Wk 37 2026" dataDxfId="265"/>
    <tableColumn id="73" xr3:uid="{E83D517C-3CBB-41DE-B9E7-EBA588A6CAEE}" name="Wk 38 2026" dataDxfId="264"/>
    <tableColumn id="74" xr3:uid="{55BFABC1-4178-45DD-A896-27C068139EA8}" name="Wk 39 2026" dataDxfId="263"/>
    <tableColumn id="75" xr3:uid="{D7BB7615-FEC1-46C1-84B9-FB3F73AAC80C}" name="Wk 40 2026" dataDxfId="262"/>
    <tableColumn id="76" xr3:uid="{D3945D6B-0E4C-47F2-AAC8-94EB6A31D77E}" name="Wk 41 2026" dataDxfId="261"/>
    <tableColumn id="77" xr3:uid="{DCCE0153-DE92-424D-9C05-74F3CE412ACD}" name="Wk 42 2026" dataDxfId="260"/>
    <tableColumn id="78" xr3:uid="{87223B2A-8EA0-4CD9-889D-26364DF683BB}" name="Wk 43 2026" dataDxfId="259"/>
    <tableColumn id="79" xr3:uid="{C65EA61A-42A5-415F-8BF5-0BC0C4933507}" name="Wk 44 2026" dataDxfId="258"/>
    <tableColumn id="80" xr3:uid="{35112091-BE1C-49BC-BBCF-DBB6539B0A6A}" name="Wk 45 2026" dataDxfId="257"/>
    <tableColumn id="81" xr3:uid="{15480499-A158-493A-83DA-04E36B34A71A}" name="Wk 46 2026" dataDxfId="256"/>
    <tableColumn id="82" xr3:uid="{03BCFECB-C4EA-4501-9287-8B5E353A4403}" name="Wk 47 2026" dataDxfId="255"/>
    <tableColumn id="83" xr3:uid="{1843CFBA-F680-4990-8FE2-F2A7528747EF}" name="Wk 48 2026" dataDxfId="254"/>
    <tableColumn id="84" xr3:uid="{26FF27B0-45AE-4D7B-80A7-128DF6F466EC}" name="Wk 49 2026" dataDxfId="253"/>
    <tableColumn id="85" xr3:uid="{FBBCBBBC-332F-42C9-9FFC-3FE52724F052}" name="Wk 50 2026" dataDxfId="252"/>
    <tableColumn id="86" xr3:uid="{92BECC55-7534-4C9C-AE28-829D72A18D5F}" name="Wk 51 2026" dataDxfId="251"/>
    <tableColumn id="87" xr3:uid="{FA9411C3-37F9-40EE-A5DA-00EB785FEBFB}" name="Wk 52 2026" dataDxfId="25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23AE24-6038-4184-8476-A5B39BC0DE2B}" name="tblForecastTransits25" displayName="tblForecastTransits25" ref="B14:CJ20" totalsRowShown="0" headerRowDxfId="249" dataDxfId="248" headerRowBorderDxfId="246" tableBorderDxfId="247">
  <autoFilter ref="B14:CJ20" xr:uid="{22990427-97D6-4128-B413-6C553148C612}"/>
  <tableColumns count="87">
    <tableColumn id="1" xr3:uid="{90AF7D69-5FE9-4D3F-A8AB-B34F1E615FA7}" name="MP"/>
    <tableColumn id="2" xr3:uid="{C2CE772C-B148-4D1F-99A4-E4B9B5D7C5B1}" name="Wk19 2025" dataDxfId="245"/>
    <tableColumn id="3" xr3:uid="{A0DD27EA-24C9-4735-8521-C1BFE274BE0E}" name="Wk20 2025" dataDxfId="244"/>
    <tableColumn id="4" xr3:uid="{4483A63E-2841-499A-8F6F-04265F3B4950}" name="Wk21 2025" dataDxfId="243"/>
    <tableColumn id="5" xr3:uid="{4EF77BC7-8819-4D13-86DF-856DB47A9715}" name="Wk22 2025" dataDxfId="242"/>
    <tableColumn id="6" xr3:uid="{2F2C0467-26DF-407B-99A5-8D2F93FFD54D}" name="Wk23 2025" dataDxfId="241"/>
    <tableColumn id="7" xr3:uid="{F520AFFE-1894-48D5-9D25-3A0DC5D76E82}" name="Wk24 2025" dataDxfId="240"/>
    <tableColumn id="8" xr3:uid="{A229F7FD-0149-49DA-87D3-5DD9C91931E6}" name="Wk25 2025" dataDxfId="239"/>
    <tableColumn id="9" xr3:uid="{21BFCA83-1B04-4B60-A9B6-B9E8883C604F}" name="Wk26 2025" dataDxfId="238"/>
    <tableColumn id="10" xr3:uid="{CCA99270-0564-44F1-B8A9-B10867174574}" name="Wk27 2025" dataDxfId="237"/>
    <tableColumn id="11" xr3:uid="{CB04338F-4AC3-4FB9-9523-D03C9AC04CFA}" name="Wk28 2025" dataDxfId="236"/>
    <tableColumn id="12" xr3:uid="{168D703C-6431-481A-8487-7E8368E366BC}" name="Wk29 2025" dataDxfId="235"/>
    <tableColumn id="13" xr3:uid="{FDB41DB1-6F6B-4916-B572-38394BE66B1F}" name="Wk30 2025" dataDxfId="234"/>
    <tableColumn id="14" xr3:uid="{0778B44C-DBF4-4080-A78B-648661D9426C}" name="Wk31 2025" dataDxfId="233"/>
    <tableColumn id="15" xr3:uid="{BC7FB12D-725E-462E-9C0B-97CE889859A6}" name="Wk32 2025" dataDxfId="232"/>
    <tableColumn id="16" xr3:uid="{FE953FAB-8873-440D-BE48-EBDFFBBADC0C}" name="Wk33 2025" dataDxfId="231"/>
    <tableColumn id="17" xr3:uid="{0A4E75BB-3909-4A92-A8DA-A871FC7E3BAA}" name="Wk34 2025" dataDxfId="230"/>
    <tableColumn id="18" xr3:uid="{D0723E92-F800-4D68-A58A-1B66CFA31C51}" name="Wk35 2025" dataDxfId="229"/>
    <tableColumn id="19" xr3:uid="{2918C770-1CC1-4371-AC1B-01806A1CE446}" name="Wk36 2025" dataDxfId="228"/>
    <tableColumn id="20" xr3:uid="{7941FE6E-EA83-4CDC-AD2A-06132476A42F}" name="Wk37 2025" dataDxfId="227"/>
    <tableColumn id="21" xr3:uid="{55E82EB0-84EE-45B6-8BEE-D9FFCA630F6F}" name="Wk38 2025" dataDxfId="226"/>
    <tableColumn id="22" xr3:uid="{0F0514F0-00F0-493C-ACED-298BE578B94B}" name="Wk39 2025" dataDxfId="225"/>
    <tableColumn id="23" xr3:uid="{EE422636-D01A-49ED-BEC6-E94D6602FEA4}" name="Wk40 2025" dataDxfId="224"/>
    <tableColumn id="24" xr3:uid="{7C96F367-6EEF-4D2F-A12C-9FA19C9B3D5F}" name="Wk41 2025" dataDxfId="223"/>
    <tableColumn id="25" xr3:uid="{7C86F617-5706-4579-9F0D-62B11B689E95}" name="Wk42 2025" dataDxfId="222"/>
    <tableColumn id="26" xr3:uid="{9605EE82-61E2-429C-B07E-6EDD0989F2E5}" name="Wk43 2025" dataDxfId="221"/>
    <tableColumn id="27" xr3:uid="{8448055E-FBE4-458F-A852-2061A0876458}" name="Wk44 2025" dataDxfId="220"/>
    <tableColumn id="28" xr3:uid="{6E71A468-4C0A-4173-B213-FEE8AE4214F8}" name="Wk45 2025" dataDxfId="219"/>
    <tableColumn id="29" xr3:uid="{C28CFFE0-0AE5-40CA-B043-10C1F8CEA429}" name="Wk46 2025" dataDxfId="218"/>
    <tableColumn id="30" xr3:uid="{7DB27D58-5B61-4A1E-8C66-D7EDFD58C08F}" name="Wk47 2025" dataDxfId="217"/>
    <tableColumn id="31" xr3:uid="{551232DA-E355-4153-A68D-1C12EE07407A}" name="Wk48 2025" dataDxfId="216"/>
    <tableColumn id="32" xr3:uid="{290C8FF1-1A55-4657-B36C-90C662AB1A17}" name="Wk49 2025" dataDxfId="215"/>
    <tableColumn id="33" xr3:uid="{80E1EB9E-D171-4C0F-906A-21652CA22175}" name="Wk50 2025" dataDxfId="214"/>
    <tableColumn id="34" xr3:uid="{439313A2-30FA-4F2B-A161-6D67E80A6287}" name="Wk51 2025" dataDxfId="213"/>
    <tableColumn id="35" xr3:uid="{70D90196-AEB3-45F6-BB30-1A09F881B512}" name="Wk52 2025" dataDxfId="212"/>
    <tableColumn id="36" xr3:uid="{406BBDD2-445E-4FDF-9C9D-E868BC5B42A0}" name="Wk 1 2026" dataDxfId="211"/>
    <tableColumn id="37" xr3:uid="{90CC7935-24F1-40BA-BC51-2B594B5867C7}" name="Wk 2 2026" dataDxfId="210"/>
    <tableColumn id="38" xr3:uid="{4925818B-A192-485F-ADE0-76413A1C2E2B}" name="Wk 3 2026" dataDxfId="209"/>
    <tableColumn id="39" xr3:uid="{22F195C3-EA30-463B-9725-404EB437FD93}" name="Wk 4 2026" dataDxfId="208"/>
    <tableColumn id="40" xr3:uid="{46318D25-00B3-4564-89E1-B9732A5202E3}" name="Wk 5 2026" dataDxfId="207"/>
    <tableColumn id="41" xr3:uid="{7C7D4D36-F88B-498C-8101-CAA47E6CE383}" name="Wk 6 2026" dataDxfId="206"/>
    <tableColumn id="42" xr3:uid="{DDF48BA8-DFA4-447D-B5FB-76E9A9EA5B8A}" name="Wk 7 2026" dataDxfId="205"/>
    <tableColumn id="43" xr3:uid="{9A9726D5-4EBF-4EF9-B335-99C249FC43D8}" name="Wk 8 2026" dataDxfId="204"/>
    <tableColumn id="44" xr3:uid="{C9413AAF-02E5-4136-99E5-A85640D38BF6}" name="Wk 9 2026" dataDxfId="203"/>
    <tableColumn id="45" xr3:uid="{801C2224-8D3B-4149-B940-59E352E8FEB1}" name="Wk 10 2026" dataDxfId="202"/>
    <tableColumn id="46" xr3:uid="{449AD6DE-0D47-410A-B25B-B408ED93F299}" name="Wk 11 2026" dataDxfId="201"/>
    <tableColumn id="47" xr3:uid="{465AD38B-86F5-4A59-96DA-6968BE07E826}" name="Wk 12 2026" dataDxfId="200"/>
    <tableColumn id="48" xr3:uid="{71695512-FC8C-46C8-A340-CC6972781435}" name="Wk 13 2026" dataDxfId="199"/>
    <tableColumn id="49" xr3:uid="{46488E34-662F-490E-AFC3-A2B73363CB16}" name="Wk 14 2026" dataDxfId="198"/>
    <tableColumn id="50" xr3:uid="{6B9C4F73-EE41-4207-B7C3-326AEAE82D6C}" name="Wk 15 2026" dataDxfId="197"/>
    <tableColumn id="51" xr3:uid="{CB795A69-D494-48E6-B94F-730F618D2DB3}" name="Wk 16 2026" dataDxfId="196"/>
    <tableColumn id="52" xr3:uid="{D4B307B7-FFF2-4846-9E1B-F84EE8118CFB}" name="Wk 17 2026" dataDxfId="195"/>
    <tableColumn id="53" xr3:uid="{3C609ADA-5E16-4958-9C3E-D01F85BA6B76}" name="Wk 18 2026" dataDxfId="194"/>
    <tableColumn id="54" xr3:uid="{7319B7BA-31F7-4D99-8B17-0ED4906E4EF4}" name="Wk 19 2026" dataDxfId="193"/>
    <tableColumn id="55" xr3:uid="{91ACBED5-E173-4D69-84C4-A82B47621937}" name="Wk 20 2026" dataDxfId="192"/>
    <tableColumn id="56" xr3:uid="{7E4863D4-3183-47E0-B05A-60319AB4C59A}" name="Wk 21 2026" dataDxfId="191"/>
    <tableColumn id="57" xr3:uid="{2BFF8CF2-1C85-4094-9F60-2A59FD5E1095}" name="Wk 22 2026" dataDxfId="190"/>
    <tableColumn id="58" xr3:uid="{5D198BA4-E324-49E3-8BE7-6A3B9B8E7E96}" name="Wk 23 2026" dataDxfId="189"/>
    <tableColumn id="59" xr3:uid="{EAF42B2C-2C00-44F9-A35A-6CC91B62E182}" name="Wk 24 2026" dataDxfId="188"/>
    <tableColumn id="60" xr3:uid="{B7B56993-506F-4044-99B7-68ADE63D7D7F}" name="Wk 25 2026" dataDxfId="187"/>
    <tableColumn id="61" xr3:uid="{3525D9D8-F0A1-4B9D-BD41-C5AF41F667AD}" name="Wk 26 2026" dataDxfId="186"/>
    <tableColumn id="62" xr3:uid="{7E567130-D108-49D2-9FED-02795BCBC159}" name="Wk 27 2026" dataDxfId="185"/>
    <tableColumn id="63" xr3:uid="{228AC1EB-C6D5-40F2-83EF-4C2A42678A80}" name="Wk 28 2026" dataDxfId="184"/>
    <tableColumn id="64" xr3:uid="{D307FBAF-E420-4D3E-A1CA-B1BCAFF9BC21}" name="Wk 29 2026" dataDxfId="183"/>
    <tableColumn id="65" xr3:uid="{ED124B6E-396F-426B-803C-09FA55D63265}" name="Wk 30 2026" dataDxfId="182"/>
    <tableColumn id="66" xr3:uid="{552A1633-3764-45A0-A6BE-EB10E5D3EE2A}" name="Wk 31 2026" dataDxfId="181"/>
    <tableColumn id="67" xr3:uid="{20B829D7-CE26-47FE-A68C-782AD2405E45}" name="Wk 32 2026" dataDxfId="180"/>
    <tableColumn id="68" xr3:uid="{094157AB-A526-4480-8D0F-6FF1416ECB5A}" name="Wk 33 2026" dataDxfId="179"/>
    <tableColumn id="69" xr3:uid="{B40298A5-625D-4FF3-8CA6-A8C054E7D2BE}" name="Wk 34 2026" dataDxfId="178"/>
    <tableColumn id="70" xr3:uid="{2288879E-142C-4BEE-B86A-AD54EB2B1DBB}" name="Wk 35 2026" dataDxfId="177"/>
    <tableColumn id="71" xr3:uid="{B639EECA-0F34-491E-9923-96684065B5CC}" name="Wk 36 2026" dataDxfId="176"/>
    <tableColumn id="72" xr3:uid="{20DB7AA9-253C-4673-B174-AC7609F1D183}" name="Wk 37 2026" dataDxfId="175"/>
    <tableColumn id="73" xr3:uid="{8629C5E0-1573-498A-8F5B-99B6E6A74F5E}" name="Wk 38 2026" dataDxfId="174"/>
    <tableColumn id="74" xr3:uid="{DBC53E68-797B-4408-8A78-59A872D576AC}" name="Wk 39 2026" dataDxfId="173"/>
    <tableColumn id="75" xr3:uid="{2E5E4B64-1837-4A81-98B3-355113834168}" name="Wk 40 2026" dataDxfId="172"/>
    <tableColumn id="76" xr3:uid="{903F1D00-C23F-4028-AE8E-28388781BFC8}" name="Wk 41 2026" dataDxfId="171"/>
    <tableColumn id="77" xr3:uid="{D1A3DF15-DAE8-41ED-A2DC-BFC1F3679CE2}" name="Wk 42 2026" dataDxfId="170"/>
    <tableColumn id="78" xr3:uid="{4A57ADAE-62BD-46E8-A048-172EADCF66CF}" name="Wk 43 2026" dataDxfId="169"/>
    <tableColumn id="79" xr3:uid="{BD7B15E9-F25C-4522-8675-D4CED683E419}" name="Wk 44 2026" dataDxfId="168"/>
    <tableColumn id="80" xr3:uid="{BEBA2E4B-4F5F-454B-8DEC-350007AD1A05}" name="Wk 45 2026" dataDxfId="167"/>
    <tableColumn id="81" xr3:uid="{25E6C9C6-112C-4731-AA28-CF416D89698B}" name="Wk 46 2026" dataDxfId="166"/>
    <tableColumn id="82" xr3:uid="{1672F750-5907-4B0D-82DC-722C1AB7D7EE}" name="Wk 47 2026" dataDxfId="165"/>
    <tableColumn id="83" xr3:uid="{8CCFC408-290D-4730-930F-DE6E8D9A4415}" name="Wk 48 2026" dataDxfId="164"/>
    <tableColumn id="84" xr3:uid="{9B0242EE-08B0-45EE-8ECB-49A04C9A6C27}" name="Wk 49 2026" dataDxfId="163"/>
    <tableColumn id="85" xr3:uid="{8F4B4399-02CA-40AA-8688-ABDB0B15BE96}" name="Wk 50 2026" dataDxfId="162"/>
    <tableColumn id="86" xr3:uid="{5FF095FA-D85E-4885-BB91-093A77DB66D6}" name="Wk 51 2026" dataDxfId="161"/>
    <tableColumn id="87" xr3:uid="{F196C26A-5A23-477D-9B39-A0524030CCB7}" name="Wk 52 2026" dataDxfId="16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9880D93-3E9B-4BB8-8F9F-3210FFA8DEBE}" name="tblForecastConversion26" displayName="tblForecastConversion26" ref="B25:CJ31" totalsRowShown="0" headerRowDxfId="159" headerRowBorderDxfId="157" tableBorderDxfId="158">
  <autoFilter ref="B25:CJ31" xr:uid="{A3DDD57D-4EA3-4820-AB76-FC029A3E1E93}"/>
  <tableColumns count="87">
    <tableColumn id="1" xr3:uid="{19709AAB-A454-4CDD-8042-E660E6539FDB}" name="MP"/>
    <tableColumn id="2" xr3:uid="{251A9C41-3B84-4933-8227-8CF5BF418024}" name="Wk19 2025" dataDxfId="156"/>
    <tableColumn id="3" xr3:uid="{F10B1F4B-B8C5-43CF-B2A2-620D07E4CADC}" name="Wk20 2025" dataDxfId="155"/>
    <tableColumn id="4" xr3:uid="{57C50167-E989-4A5E-B79D-46FB7418988B}" name="Wk21 2025" dataDxfId="154"/>
    <tableColumn id="5" xr3:uid="{73D7C84C-2F32-4EF4-BD24-E83F543EB035}" name="Wk22 2025" dataDxfId="153"/>
    <tableColumn id="6" xr3:uid="{ED8EF779-8372-4AA0-ADF8-00FD7FBF7099}" name="Wk23 2025" dataDxfId="152"/>
    <tableColumn id="7" xr3:uid="{BB99AAEA-DAD8-4C1D-82B1-404493760F91}" name="Wk24 2025" dataDxfId="151"/>
    <tableColumn id="8" xr3:uid="{60C84499-2BC4-47CC-A1A3-93D84D3C1F6B}" name="Wk25 2025" dataDxfId="150"/>
    <tableColumn id="9" xr3:uid="{10916351-2A88-4C13-8AA5-451BAF476748}" name="Wk26 2025" dataDxfId="149"/>
    <tableColumn id="10" xr3:uid="{10893799-E298-4F5B-96BD-431CB346D0B2}" name="Wk27 2025" dataDxfId="148"/>
    <tableColumn id="11" xr3:uid="{2431BF64-6EFD-4E36-89F3-4E6C80D18BAB}" name="Wk28 2025" dataDxfId="147"/>
    <tableColumn id="12" xr3:uid="{9CC7ACFB-9C6E-47E7-9AAC-35F635827979}" name="Wk29 2025" dataDxfId="146"/>
    <tableColumn id="13" xr3:uid="{67AC7F80-32AC-43E5-87BE-1B79F81917D4}" name="Wk30 2025" dataDxfId="145"/>
    <tableColumn id="14" xr3:uid="{6277956A-BDE5-40D6-9EA2-726755ED7694}" name="Wk31 2025" dataDxfId="144"/>
    <tableColumn id="15" xr3:uid="{4A4F3B36-9124-4463-9553-6207D7F9B6A5}" name="Wk32 2025" dataDxfId="143"/>
    <tableColumn id="16" xr3:uid="{427FB6BC-4E70-41A6-AE77-53C2EDF704BD}" name="Wk33 2025" dataDxfId="142"/>
    <tableColumn id="17" xr3:uid="{4144B392-27FA-4687-B013-11028BD56AE7}" name="Wk34 2025" dataDxfId="141"/>
    <tableColumn id="18" xr3:uid="{67FF2B25-6FF4-4B88-8995-3DB633E49BFE}" name="Wk35 2025" dataDxfId="140"/>
    <tableColumn id="19" xr3:uid="{ADDC8232-E4E0-4CAB-82E6-E25A0453AEB4}" name="Wk36 2025" dataDxfId="139"/>
    <tableColumn id="20" xr3:uid="{2F5A67E8-1A48-4D22-8E40-E5DFEF914106}" name="Wk37 2025" dataDxfId="138"/>
    <tableColumn id="21" xr3:uid="{0365B1EB-5F00-4430-80DE-8185E796B733}" name="Wk38 2025" dataDxfId="137"/>
    <tableColumn id="22" xr3:uid="{CB7F21C9-397D-4D10-88A8-311BEB3153AF}" name="Wk39 2025" dataDxfId="136"/>
    <tableColumn id="23" xr3:uid="{785CFE1E-0F7D-4A16-AAB8-FEF970029AEE}" name="Wk40 2025" dataDxfId="135"/>
    <tableColumn id="24" xr3:uid="{3F5A290C-DE40-4BA2-ACD1-48B1D35751C2}" name="Wk41 2025" dataDxfId="134"/>
    <tableColumn id="25" xr3:uid="{D025795C-544E-4C9F-BD99-53A55DE058C4}" name="Wk42 2025" dataDxfId="133"/>
    <tableColumn id="26" xr3:uid="{00786A22-6936-4965-B42A-ECEB13DA9305}" name="Wk43 2025" dataDxfId="132"/>
    <tableColumn id="27" xr3:uid="{8FB0E2F7-F1B8-488D-8D6F-4F5966783BD4}" name="Wk44 2025" dataDxfId="131"/>
    <tableColumn id="28" xr3:uid="{236C8E7F-C751-4C06-BEAA-6A8FD02B14E2}" name="Wk45 2025" dataDxfId="130"/>
    <tableColumn id="29" xr3:uid="{B10855DD-6B23-47EC-BF28-4C19C93EBB7B}" name="Wk46 2025" dataDxfId="129"/>
    <tableColumn id="30" xr3:uid="{0F99B47A-ED9A-4487-A63F-ABC2A910F590}" name="Wk47 2025" dataDxfId="128"/>
    <tableColumn id="31" xr3:uid="{522DDE35-F449-4AD7-89A0-0ED56B293919}" name="Wk48 2025" dataDxfId="127"/>
    <tableColumn id="32" xr3:uid="{6917E470-1827-487A-9572-74E9DA22819F}" name="Wk49 2025" dataDxfId="126"/>
    <tableColumn id="33" xr3:uid="{5704AB2D-B913-446C-852F-BD81C74614C7}" name="Wk50 2025" dataDxfId="125"/>
    <tableColumn id="34" xr3:uid="{F3C2A90B-FBAC-4A65-9961-E2293897679A}" name="Wk51 2025" dataDxfId="124"/>
    <tableColumn id="35" xr3:uid="{4F4995B6-4011-45F4-8331-97C880A5122E}" name="Wk52 2025" dataDxfId="123"/>
    <tableColumn id="36" xr3:uid="{21BD62B3-ACC7-4844-B5DA-2962BEA9926F}" name="Wk 1 2026" dataDxfId="122"/>
    <tableColumn id="37" xr3:uid="{2E9C2235-253E-48D0-BF48-4AAD7EF79292}" name="Wk 2 2026" dataDxfId="121"/>
    <tableColumn id="38" xr3:uid="{68374603-71A9-42E5-AF82-2BBBFBAC9B36}" name="Wk 3 2026" dataDxfId="120"/>
    <tableColumn id="39" xr3:uid="{F0DB1902-2942-4F44-B3ED-A57B46C74896}" name="Wk 4 2026" dataDxfId="119"/>
    <tableColumn id="40" xr3:uid="{EDD81630-FFD0-40F4-BD97-D12144F95FFD}" name="Wk 5 2026" dataDxfId="118"/>
    <tableColumn id="41" xr3:uid="{A2D9B204-3120-4FAE-A1FD-F334B9C080FC}" name="Wk 6 2026" dataDxfId="117"/>
    <tableColumn id="42" xr3:uid="{017D52ED-1A22-4E63-B81F-3FC372A81285}" name="Wk 7 2026" dataDxfId="116"/>
    <tableColumn id="43" xr3:uid="{15099DB2-F5B8-4210-BEDD-3FEE44708FDC}" name="Wk 8 2026" dataDxfId="115"/>
    <tableColumn id="44" xr3:uid="{53DDB2C3-B621-42AC-9858-59FA91F20C71}" name="Wk 9 2026" dataDxfId="114"/>
    <tableColumn id="45" xr3:uid="{CFBCA57F-D256-4E28-9D3A-D8AF20CD8E0C}" name="Wk 10 2026" dataDxfId="113"/>
    <tableColumn id="46" xr3:uid="{A8AEAD12-2A04-400E-825A-82CD5596C732}" name="Wk 11 2026" dataDxfId="112"/>
    <tableColumn id="47" xr3:uid="{107966B7-887B-42C6-8646-70A3AC43E553}" name="Wk 12 2026" dataDxfId="111"/>
    <tableColumn id="48" xr3:uid="{394B57A4-D3F2-49EB-B5A3-5D1732EC6B2C}" name="Wk 13 2026" dataDxfId="110"/>
    <tableColumn id="49" xr3:uid="{750D9CAD-F514-47DF-9E6A-0A50EDA8D48D}" name="Wk 14 2026" dataDxfId="109"/>
    <tableColumn id="50" xr3:uid="{9D41C67A-86C7-4BE9-86EE-7B2E99FE95BF}" name="Wk 15 2026" dataDxfId="108"/>
    <tableColumn id="51" xr3:uid="{5DA457BC-2164-4F1C-9F51-9D19FA3685AD}" name="Wk 16 2026" dataDxfId="107"/>
    <tableColumn id="52" xr3:uid="{593F0E6B-3F47-4FA4-B3C5-028425E81FDF}" name="Wk 17 2026" dataDxfId="106"/>
    <tableColumn id="53" xr3:uid="{34B7F7FC-C0E7-4F4B-91E2-F45F36B280E0}" name="Wk 18 2026" dataDxfId="105"/>
    <tableColumn id="54" xr3:uid="{140D5B8A-A261-4622-B3F1-EC75701E505B}" name="Wk 19 2026" dataDxfId="104"/>
    <tableColumn id="55" xr3:uid="{EB17F7F4-D539-4189-AE83-527959D19C79}" name="Wk 20 2026" dataDxfId="103"/>
    <tableColumn id="56" xr3:uid="{7717CBFD-85B0-4A90-95E8-52794597607D}" name="Wk 21 2026" dataDxfId="102"/>
    <tableColumn id="57" xr3:uid="{406ECD6F-0F9E-4DC7-BA51-8898E53B55B9}" name="Wk 22 2026" dataDxfId="101"/>
    <tableColumn id="58" xr3:uid="{D228D428-6196-47C9-9AEC-F1862BACDD91}" name="Wk 23 2026" dataDxfId="100"/>
    <tableColumn id="59" xr3:uid="{6D9A04A0-9F46-4B04-8056-61B10E2EE7E4}" name="Wk 24 2026" dataDxfId="99"/>
    <tableColumn id="60" xr3:uid="{2FB1EEAA-91BA-42AA-97B1-7E0F55B91038}" name="Wk 25 2026" dataDxfId="98"/>
    <tableColumn id="61" xr3:uid="{82BDB344-CF7D-47C7-AFE3-28840AE5F550}" name="Wk 26 2026" dataDxfId="97"/>
    <tableColumn id="62" xr3:uid="{83ACCEFA-A6CA-4A98-8F0F-2866384750F5}" name="Wk 27 2026" dataDxfId="96"/>
    <tableColumn id="63" xr3:uid="{CA6BDFF2-9FE4-4DC3-95D4-32AF8D649152}" name="Wk 28 2026" dataDxfId="95"/>
    <tableColumn id="64" xr3:uid="{C76C25C6-B4BF-4F2B-B7AD-CDD402C1E654}" name="Wk 29 2026" dataDxfId="94"/>
    <tableColumn id="65" xr3:uid="{AACB71CE-2090-43F0-99B5-9FCDD8A03F2E}" name="Wk 30 2026" dataDxfId="93"/>
    <tableColumn id="66" xr3:uid="{BADF505C-ED78-4CD0-A338-A013008F2697}" name="Wk 31 2026" dataDxfId="92"/>
    <tableColumn id="67" xr3:uid="{3E22C4D8-CDFD-45AA-9821-EB1D8EFE6930}" name="Wk 32 2026" dataDxfId="91"/>
    <tableColumn id="68" xr3:uid="{18D3F6C6-8EB0-4FFB-AE28-D34B0B4503EC}" name="Wk 33 2026" dataDxfId="90"/>
    <tableColumn id="69" xr3:uid="{13B6243E-7D13-4FB6-828E-ACCBBCCAC3E2}" name="Wk 34 2026" dataDxfId="89"/>
    <tableColumn id="70" xr3:uid="{758FD66C-4C4B-459E-ADB0-D45789CD0191}" name="Wk 35 2026" dataDxfId="88"/>
    <tableColumn id="71" xr3:uid="{1B031FFD-CB8B-4E27-9A52-912776C2BD39}" name="Wk 36 2026" dataDxfId="87"/>
    <tableColumn id="72" xr3:uid="{EAD84479-C984-4017-8D5C-F8B65AA95747}" name="Wk 37 2026" dataDxfId="86"/>
    <tableColumn id="73" xr3:uid="{548D01E8-D822-4B76-A4FD-527D06F1F841}" name="Wk 38 2026" dataDxfId="85"/>
    <tableColumn id="74" xr3:uid="{2CCDCB83-4578-412E-BDBE-B1759394F807}" name="Wk 39 2026" dataDxfId="84"/>
    <tableColumn id="75" xr3:uid="{A2B47FAA-DF88-47C7-8FFF-9B3B5C8A6DD2}" name="Wk 40 2026" dataDxfId="83"/>
    <tableColumn id="76" xr3:uid="{0015EEB1-F974-42C1-845C-EBE7BA1ADE35}" name="Wk 41 2026" dataDxfId="82"/>
    <tableColumn id="77" xr3:uid="{2A5AF859-384F-4A7E-BAD8-E8E8FE921B91}" name="Wk 42 2026" dataDxfId="81"/>
    <tableColumn id="78" xr3:uid="{FB1942F9-837A-45B2-9E28-A87BFEA05A3C}" name="Wk 43 2026" dataDxfId="80"/>
    <tableColumn id="79" xr3:uid="{97F7C186-8FA9-4AC0-BF05-F1A72BA571C2}" name="Wk 44 2026" dataDxfId="79"/>
    <tableColumn id="80" xr3:uid="{94110167-94FE-44E3-80F3-C0E28D9B947F}" name="Wk 45 2026" dataDxfId="78"/>
    <tableColumn id="81" xr3:uid="{B54E2646-EF1B-470A-B500-CE3297E09990}" name="Wk 46 2026" dataDxfId="77"/>
    <tableColumn id="82" xr3:uid="{A1347978-F005-4A77-A89F-3C9D020591C1}" name="Wk 47 2026" dataDxfId="76"/>
    <tableColumn id="83" xr3:uid="{6392E998-6A9E-4474-8BB0-5D7C9C7A4B5E}" name="Wk 48 2026" dataDxfId="75"/>
    <tableColumn id="84" xr3:uid="{6F788E70-5322-4E09-B880-57F7282FBDE6}" name="Wk 49 2026" dataDxfId="74"/>
    <tableColumn id="85" xr3:uid="{32D9ACF4-883C-4011-989B-133EB02E36E5}" name="Wk 50 2026" dataDxfId="73"/>
    <tableColumn id="86" xr3:uid="{A32BCA83-FCDB-4ECC-865D-6028DCBB9A1F}" name="Wk 51 2026" dataDxfId="72"/>
    <tableColumn id="87" xr3:uid="{BEB0D13A-C664-4E08-ABD1-A8CDA2297D56}" name="Wk 52 2026" dataDxfId="7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BD732E-DC21-4DAE-B276-9E6E2FB65295}" name="TblForecastUPO27" displayName="TblForecastUPO27" ref="B36:CJ42" totalsRowShown="0" headerRowDxfId="70" headerRowBorderDxfId="68" tableBorderDxfId="69">
  <autoFilter ref="B36:CJ42" xr:uid="{3A99EC39-3902-44BE-97E1-A361C84F19E1}"/>
  <tableColumns count="87">
    <tableColumn id="1" xr3:uid="{144B814F-58E6-4B6C-8C0E-65FD554AF3CB}" name="MP"/>
    <tableColumn id="2" xr3:uid="{4821364A-661B-47EE-B5F6-A68B20A89CA5}" name="Wk19 2025" dataDxfId="67"/>
    <tableColumn id="3" xr3:uid="{AA422AEB-6573-4DD7-A176-42B7EBEA4F3C}" name="Wk20 2025" dataDxfId="66"/>
    <tableColumn id="4" xr3:uid="{DB4E66E9-AB40-42C5-ACBA-67189F08D127}" name="Wk21 2025" dataDxfId="65"/>
    <tableColumn id="5" xr3:uid="{C3427049-0A80-48EB-80E4-C1B2CE551F1D}" name="Wk22 2025"/>
    <tableColumn id="6" xr3:uid="{0CCF3FBD-B589-45F3-8E82-0C3BD9D995D1}" name="Wk23 2025"/>
    <tableColumn id="7" xr3:uid="{E9FF8575-D9FB-4AB3-A479-CFA6862F7E1B}" name="Wk24 2025"/>
    <tableColumn id="8" xr3:uid="{D9FB4E1F-C4DF-479B-8E31-724FDBBE748D}" name="Wk25 2025"/>
    <tableColumn id="9" xr3:uid="{AEB335AF-596C-4178-86E8-3D3FA64766EF}" name="Wk26 2025"/>
    <tableColumn id="10" xr3:uid="{75E445E1-E5B2-4C79-B91F-56CB0ACEFBE8}" name="Wk27 2025"/>
    <tableColumn id="11" xr3:uid="{2EC4CB03-A7E3-4DFA-AE11-E2FE05AECCC4}" name="Wk28 2025" dataDxfId="64"/>
    <tableColumn id="12" xr3:uid="{EE81FC78-3E72-4FFD-9972-9DAADEFECB78}" name="Wk29 2025" dataDxfId="63"/>
    <tableColumn id="13" xr3:uid="{5F388E32-2F1C-4FC2-9C8D-5FB53B9283F8}" name="Wk30 2025"/>
    <tableColumn id="14" xr3:uid="{9394B147-A24D-41D6-9926-65BF91B62BA3}" name="Wk31 2025"/>
    <tableColumn id="15" xr3:uid="{79C44F6B-E7D0-4F2D-99F2-5944A9CFC1BE}" name="Wk32 2025"/>
    <tableColumn id="16" xr3:uid="{B1CFD19A-E544-4455-90C3-C8F1613248A1}" name="Wk33 2025"/>
    <tableColumn id="17" xr3:uid="{B3FE223C-CF31-48D8-BD1A-243A1A8BAAFB}" name="Wk34 2025"/>
    <tableColumn id="18" xr3:uid="{17D7DAB9-37C2-4F72-980D-CA889DC813DC}" name="Wk35 2025"/>
    <tableColumn id="19" xr3:uid="{B0BF227F-8559-4E55-8094-5F78AFDB984F}" name="Wk36 2025"/>
    <tableColumn id="20" xr3:uid="{08E665AA-227C-4EC8-8188-62A23E8326A7}" name="Wk37 2025"/>
    <tableColumn id="21" xr3:uid="{E72B252A-D2E3-4E33-A394-A69319BAD60A}" name="Wk38 2025"/>
    <tableColumn id="22" xr3:uid="{CE7B393B-23A5-4838-B192-CD32BBED1139}" name="Wk39 2025"/>
    <tableColumn id="23" xr3:uid="{647C4F5D-13D9-466D-ABC0-88483CD9D40F}" name="Wk40 2025"/>
    <tableColumn id="24" xr3:uid="{BA7F7DDE-D3A4-4F1E-8BFA-484C4E401E9E}" name="Wk41 2025"/>
    <tableColumn id="25" xr3:uid="{1854A1B5-2922-45CE-B9F2-9D5F6250BF3D}" name="Wk42 2025" dataDxfId="62"/>
    <tableColumn id="26" xr3:uid="{FBE2AC7C-5E90-4CBA-98DD-14A1FD292B48}" name="Wk43 2025" dataDxfId="61"/>
    <tableColumn id="27" xr3:uid="{D5EE5B13-6A8E-4939-A39D-F492CE1C9BF0}" name="Wk44 2025" dataDxfId="60"/>
    <tableColumn id="28" xr3:uid="{293528AD-1E49-4618-97BF-BEF268D9E321}" name="Wk45 2025" dataDxfId="59"/>
    <tableColumn id="29" xr3:uid="{D3CA8AE8-8C9B-4A11-8E42-FA2BF14BE63A}" name="Wk46 2025" dataDxfId="58"/>
    <tableColumn id="30" xr3:uid="{F40CE1AB-E55D-4E39-AAA6-F52C8C4BE884}" name="Wk47 2025" dataDxfId="57"/>
    <tableColumn id="31" xr3:uid="{B42EE7D8-0F7A-4D08-8A18-81DB208939D5}" name="Wk48 2025" dataDxfId="56"/>
    <tableColumn id="32" xr3:uid="{64F3055F-6E9B-4B35-932E-45D6566C92CF}" name="Wk49 2025" dataDxfId="55"/>
    <tableColumn id="33" xr3:uid="{57E31240-4114-4D66-996E-3D8B43656BAF}" name="Wk50 2025" dataDxfId="54"/>
    <tableColumn id="34" xr3:uid="{E57E5CE8-5555-43D8-8093-A9FC4DC46882}" name="Wk51 2025" dataDxfId="53"/>
    <tableColumn id="35" xr3:uid="{EC272B9B-F125-4C95-BA8D-86231342D144}" name="Wk52 2025" dataDxfId="52"/>
    <tableColumn id="36" xr3:uid="{6007C119-962E-4928-8A17-17694012642E}" name="Wk 1 2026" dataDxfId="51"/>
    <tableColumn id="37" xr3:uid="{455E8279-829F-4144-8053-74AA8C05019E}" name="Wk 2 2026" dataDxfId="50"/>
    <tableColumn id="38" xr3:uid="{F904B546-0724-4DA7-9B94-C54B518A8AE1}" name="Wk 3 2026" dataDxfId="49"/>
    <tableColumn id="39" xr3:uid="{D6E39830-E9D4-4B4C-8641-82772B345A66}" name="Wk 4 2026" dataDxfId="48"/>
    <tableColumn id="40" xr3:uid="{CD445D52-13B4-4645-AD8B-00038CCB386E}" name="Wk 5 2026" dataDxfId="47"/>
    <tableColumn id="41" xr3:uid="{58ADA5F3-F94B-4487-A688-FDE8FB7DE8D5}" name="Wk 6 2026" dataDxfId="46"/>
    <tableColumn id="42" xr3:uid="{5A752ADD-30F0-4894-837B-E233993181F2}" name="Wk 7 2026" dataDxfId="45"/>
    <tableColumn id="43" xr3:uid="{373206F0-749D-44F4-8274-D5AC2BED8876}" name="Wk 8 2026" dataDxfId="44"/>
    <tableColumn id="44" xr3:uid="{4B130792-C308-40E9-B2FD-5D68DDBCDE27}" name="Wk 9 2026" dataDxfId="43"/>
    <tableColumn id="45" xr3:uid="{F1FCB6C7-CF31-406A-BCC0-E724EBF1D64B}" name="Wk 10 2026" dataDxfId="42"/>
    <tableColumn id="46" xr3:uid="{6223F83F-90CA-499C-BAC6-A4229D05E71B}" name="Wk 11 2026" dataDxfId="41"/>
    <tableColumn id="47" xr3:uid="{7F9BD2BD-A08D-450A-91C5-CA75C65DC2D9}" name="Wk 12 2026" dataDxfId="40"/>
    <tableColumn id="48" xr3:uid="{7AFA6898-4679-4E25-9A5D-FC24A53FE7A9}" name="Wk 13 2026" dataDxfId="39"/>
    <tableColumn id="49" xr3:uid="{728F4E64-78BF-499B-9136-44949CD9561B}" name="Wk 14 2026" dataDxfId="38"/>
    <tableColumn id="50" xr3:uid="{F6276505-9D53-4E48-A2B3-3ECA9DA12FA4}" name="Wk 15 2026" dataDxfId="37"/>
    <tableColumn id="51" xr3:uid="{A00C0348-8289-4D85-AA9B-303FAE4E2546}" name="Wk 16 2026" dataDxfId="36"/>
    <tableColumn id="52" xr3:uid="{0F9B23F2-E653-4606-A6C8-39487731B568}" name="Wk 17 2026" dataDxfId="35"/>
    <tableColumn id="53" xr3:uid="{0F767FE0-808A-4ED7-9115-D724908FC1D2}" name="Wk 18 2026" dataDxfId="34"/>
    <tableColumn id="54" xr3:uid="{0F4D6570-1791-46DF-9B33-119588CB9EB2}" name="Wk 19 2026" dataDxfId="33"/>
    <tableColumn id="55" xr3:uid="{C858FD0E-4BB0-46AA-A65B-A19A8653F41F}" name="Wk 20 2026" dataDxfId="32"/>
    <tableColumn id="56" xr3:uid="{F65EE8AE-F415-4A2A-8D22-F1ECE3AB4DBC}" name="Wk 21 2026" dataDxfId="31"/>
    <tableColumn id="57" xr3:uid="{9646CDF0-DE4F-40D0-A641-19862007288B}" name="Wk 22 2026" dataDxfId="30"/>
    <tableColumn id="58" xr3:uid="{BE9E1FF7-EBCD-4416-86F0-F2A0599EC19F}" name="Wk 23 2026" dataDxfId="29"/>
    <tableColumn id="59" xr3:uid="{7482E9B2-65E2-4EB3-A160-A44356DFB2CD}" name="Wk 24 2026" dataDxfId="28"/>
    <tableColumn id="60" xr3:uid="{E3F0CC41-44DF-43D7-9596-E04A034B4EA6}" name="Wk 25 2026" dataDxfId="27"/>
    <tableColumn id="61" xr3:uid="{0E86C126-F221-4117-9410-F2821E0E6D7F}" name="Wk 26 2026" dataDxfId="26"/>
    <tableColumn id="62" xr3:uid="{30503B81-5288-4CCA-8DA8-C0285DBB9342}" name="Wk 27 2026" dataDxfId="25"/>
    <tableColumn id="63" xr3:uid="{AD0D1E9D-6BDD-4468-9053-59250BA106FD}" name="Wk 28 2026" dataDxfId="24"/>
    <tableColumn id="64" xr3:uid="{B13C5F96-DB89-455C-AF68-C6C4A228919C}" name="Wk 29 2026" dataDxfId="23"/>
    <tableColumn id="65" xr3:uid="{DA58387C-DC06-43E7-82EF-605FAAC8A3E2}" name="Wk 30 2026" dataDxfId="22"/>
    <tableColumn id="66" xr3:uid="{F342D305-8893-4CF7-A7F6-88CDAF43690F}" name="Wk 31 2026" dataDxfId="21"/>
    <tableColumn id="67" xr3:uid="{34AE6431-103B-4338-A2A3-136AD20DE849}" name="Wk 32 2026" dataDxfId="20"/>
    <tableColumn id="68" xr3:uid="{5D3B4F7A-C5F6-4B49-9B69-E73E176D0520}" name="Wk 33 2026" dataDxfId="19"/>
    <tableColumn id="69" xr3:uid="{DB4EE644-D449-479D-90A1-F4D66F33FC6B}" name="Wk 34 2026" dataDxfId="18"/>
    <tableColumn id="70" xr3:uid="{2B425192-6C70-4903-BAD9-35863103B509}" name="Wk 35 2026" dataDxfId="17"/>
    <tableColumn id="71" xr3:uid="{D6807F3C-65B9-4E6E-A832-2D8EC13B39CA}" name="Wk 36 2026" dataDxfId="16"/>
    <tableColumn id="72" xr3:uid="{DB4D976D-CE01-4308-BD50-E1FFD41361F1}" name="Wk 37 2026" dataDxfId="15"/>
    <tableColumn id="73" xr3:uid="{5806AF63-DFD0-4135-A433-537DC5995EC1}" name="Wk 38 2026" dataDxfId="14"/>
    <tableColumn id="74" xr3:uid="{113620FF-812E-45A4-8516-DA80EC60C8A6}" name="Wk 39 2026" dataDxfId="13"/>
    <tableColumn id="75" xr3:uid="{F0AF6534-FEB4-4CAF-BF99-601AA6B7282A}" name="Wk 40 2026" dataDxfId="12"/>
    <tableColumn id="76" xr3:uid="{6C690B7D-5214-4843-A5A6-CACCD48FDCA5}" name="Wk 41 2026" dataDxfId="11"/>
    <tableColumn id="77" xr3:uid="{83592EED-48D6-4493-BBAE-36FE797D8C1A}" name="Wk 42 2026" dataDxfId="10"/>
    <tableColumn id="78" xr3:uid="{11F380BC-4093-4B73-AE5E-FB9007F6C7D9}" name="Wk 43 2026" dataDxfId="9"/>
    <tableColumn id="79" xr3:uid="{9F4C4B0C-C8B2-4B07-B9CC-5CF91C9E7AE3}" name="Wk 44 2026" dataDxfId="8"/>
    <tableColumn id="80" xr3:uid="{B7B92490-A4D8-4D80-AB83-5B73CF274AE5}" name="Wk 45 2026" dataDxfId="7"/>
    <tableColumn id="81" xr3:uid="{55B0865E-7C34-417B-99E8-4FCDB6C776DF}" name="Wk 46 2026" dataDxfId="6"/>
    <tableColumn id="82" xr3:uid="{736CC5E9-9551-4CFC-B000-407898AB376C}" name="Wk 47 2026" dataDxfId="5"/>
    <tableColumn id="83" xr3:uid="{DA3184FA-8AAF-487B-914C-C931ECC77EFC}" name="Wk 48 2026" dataDxfId="4"/>
    <tableColumn id="84" xr3:uid="{2A8641FD-6F9C-4B59-91BD-B501CB6A852A}" name="Wk 49 2026" dataDxfId="3"/>
    <tableColumn id="85" xr3:uid="{F826EE3C-BDE2-4A31-94A9-B843213F843C}" name="Wk 50 2026" dataDxfId="2"/>
    <tableColumn id="86" xr3:uid="{9307F62C-CF1F-46DA-A5EA-11F34CD9D784}" name="Wk 51 2026" dataDxfId="1"/>
    <tableColumn id="87" xr3:uid="{6423CA9E-D1EF-4A7E-A9D6-7E05F827907D}" name="Wk 52 202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377D-25FF-4950-B779-72A32825D78E}">
  <dimension ref="B1:CJ37"/>
  <sheetViews>
    <sheetView tabSelected="1" topLeftCell="V1" workbookViewId="0">
      <selection activeCell="AI8" sqref="AF8:AI8"/>
    </sheetView>
  </sheetViews>
  <sheetFormatPr defaultRowHeight="15" x14ac:dyDescent="0.25"/>
  <cols>
    <col min="3" max="8" width="9.5703125" bestFit="1" customWidth="1"/>
    <col min="9" max="9" width="11.42578125" bestFit="1" customWidth="1"/>
    <col min="10" max="15" width="9.5703125" bestFit="1" customWidth="1"/>
    <col min="16" max="28" width="11.42578125" bestFit="1" customWidth="1"/>
    <col min="29" max="29" width="11.5703125" bestFit="1" customWidth="1"/>
    <col min="30" max="30" width="12.85546875" bestFit="1" customWidth="1"/>
    <col min="31" max="31" width="11.5703125" bestFit="1" customWidth="1"/>
    <col min="32" max="32" width="13" customWidth="1"/>
    <col min="33" max="34" width="12.85546875" bestFit="1" customWidth="1"/>
    <col min="35" max="35" width="11.5703125" bestFit="1" customWidth="1"/>
  </cols>
  <sheetData>
    <row r="1" spans="2:88" x14ac:dyDescent="0.25">
      <c r="B1" t="s">
        <v>0</v>
      </c>
    </row>
    <row r="2" spans="2:88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5.75" x14ac:dyDescent="0.2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/>
      <c r="AK3" s="1"/>
      <c r="AL3" s="1"/>
      <c r="AM3" s="1"/>
      <c r="AN3" s="2"/>
      <c r="AO3" s="2"/>
      <c r="AP3" s="1"/>
      <c r="AQ3" s="1"/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5.75" x14ac:dyDescent="0.2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5.75" x14ac:dyDescent="0.2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5.75" x14ac:dyDescent="0.2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5.75" x14ac:dyDescent="0.2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5.75" x14ac:dyDescent="0.25">
      <c r="B8" s="3" t="s">
        <v>93</v>
      </c>
      <c r="C8" s="1">
        <f>SUBTOTAL(109,C3:C7)</f>
        <v>2989</v>
      </c>
      <c r="D8" s="1">
        <f t="shared" ref="D8:AB8" si="0">SUBTOTAL(109,D3:D7)</f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>SUBTOTAL(109,AC3:AC7)</f>
        <v>162433</v>
      </c>
      <c r="AD8" s="1">
        <f>SUBTOTAL(109,AD3:AD7)</f>
        <v>1864888</v>
      </c>
      <c r="AE8" s="2">
        <f>SUBTOTAL(109,AE3:AE7)</f>
        <v>1000154</v>
      </c>
      <c r="AF8" s="2">
        <f>SUBTOTAL(109,AF3:AF7)</f>
        <v>1266927</v>
      </c>
      <c r="AG8" s="2">
        <f t="shared" ref="AG8:AI8" si="1">SUBTOTAL(109,AG3:AG7)</f>
        <v>1071603</v>
      </c>
      <c r="AH8" s="2">
        <f t="shared" si="1"/>
        <v>880781</v>
      </c>
      <c r="AI8" s="2">
        <f t="shared" si="1"/>
        <v>609769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25">
      <c r="B11" t="s">
        <v>94</v>
      </c>
    </row>
    <row r="12" spans="2:88" x14ac:dyDescent="0.2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5.75" x14ac:dyDescent="0.2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/>
      <c r="AK13" s="1"/>
      <c r="AL13" s="1"/>
      <c r="AM13" s="1"/>
      <c r="AN13" s="1"/>
      <c r="AO13" s="2"/>
      <c r="AP13" s="2"/>
      <c r="AQ13" s="1"/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5.75" x14ac:dyDescent="0.2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5.75" x14ac:dyDescent="0.2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5.75" x14ac:dyDescent="0.2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5.75" x14ac:dyDescent="0.2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5.75" x14ac:dyDescent="0.25">
      <c r="B18" s="13" t="s">
        <v>93</v>
      </c>
      <c r="C18" s="14">
        <f>SUBTOTAL(109,C13:C17)</f>
        <v>67675</v>
      </c>
      <c r="D18" s="14">
        <f t="shared" ref="D18:AD18" si="2">SUBTOTAL(109,D13:D17)</f>
        <v>159326</v>
      </c>
      <c r="E18" s="14">
        <f t="shared" si="2"/>
        <v>68991</v>
      </c>
      <c r="F18" s="14">
        <f t="shared" si="2"/>
        <v>291980</v>
      </c>
      <c r="G18" s="14">
        <f t="shared" si="2"/>
        <v>354405</v>
      </c>
      <c r="H18" s="14">
        <f t="shared" si="2"/>
        <v>315505</v>
      </c>
      <c r="I18" s="14">
        <f t="shared" si="2"/>
        <v>1019070</v>
      </c>
      <c r="J18" s="14">
        <f t="shared" si="2"/>
        <v>493023</v>
      </c>
      <c r="K18" s="14">
        <f t="shared" si="2"/>
        <v>440956</v>
      </c>
      <c r="L18" s="14">
        <f t="shared" si="2"/>
        <v>359674</v>
      </c>
      <c r="M18" s="14">
        <f t="shared" si="2"/>
        <v>336993</v>
      </c>
      <c r="N18" s="14">
        <f t="shared" si="2"/>
        <v>555581</v>
      </c>
      <c r="O18" s="14">
        <f t="shared" si="2"/>
        <v>504882</v>
      </c>
      <c r="P18" s="14">
        <f t="shared" si="2"/>
        <v>1496823</v>
      </c>
      <c r="Q18" s="14">
        <f t="shared" si="2"/>
        <v>1129784</v>
      </c>
      <c r="R18" s="14">
        <f t="shared" si="2"/>
        <v>1313771</v>
      </c>
      <c r="S18" s="14">
        <f t="shared" si="2"/>
        <v>1593556</v>
      </c>
      <c r="T18" s="14">
        <f t="shared" si="2"/>
        <v>1825316</v>
      </c>
      <c r="U18" s="14">
        <f t="shared" si="2"/>
        <v>1995635</v>
      </c>
      <c r="V18" s="14">
        <f t="shared" si="2"/>
        <v>2175588</v>
      </c>
      <c r="W18" s="14">
        <f t="shared" si="2"/>
        <v>2663575</v>
      </c>
      <c r="X18" s="1">
        <f t="shared" si="2"/>
        <v>3804079</v>
      </c>
      <c r="Y18" s="1">
        <f t="shared" si="2"/>
        <v>5238173</v>
      </c>
      <c r="Z18" s="1">
        <f t="shared" si="2"/>
        <v>3157089</v>
      </c>
      <c r="AA18" s="1">
        <f t="shared" si="2"/>
        <v>4929883</v>
      </c>
      <c r="AB18" s="1">
        <f t="shared" si="2"/>
        <v>4880550</v>
      </c>
      <c r="AC18" s="1">
        <f t="shared" si="2"/>
        <v>3465931</v>
      </c>
      <c r="AD18" s="1">
        <f t="shared" si="2"/>
        <v>14065371</v>
      </c>
      <c r="AE18" s="2">
        <f>SUBTOTAL(109,AE13:AE17)</f>
        <v>7658278</v>
      </c>
      <c r="AF18" s="2">
        <f>SUBTOTAL(109,AF13:AF17)</f>
        <v>6606556</v>
      </c>
      <c r="AG18" s="2">
        <f t="shared" ref="AG18:AJ18" si="3">SUBTOTAL(109,AG13:AG17)</f>
        <v>8126363</v>
      </c>
      <c r="AH18" s="2">
        <f t="shared" si="3"/>
        <v>8160461</v>
      </c>
      <c r="AI18" s="2">
        <f t="shared" si="3"/>
        <v>7502558</v>
      </c>
      <c r="AJ18" s="2"/>
      <c r="AK18" s="1"/>
      <c r="AL18" s="1"/>
      <c r="AM18" s="1"/>
      <c r="AN18" s="1"/>
      <c r="AO18" s="2"/>
      <c r="AP18" s="2"/>
      <c r="AQ18" s="2"/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25">
      <c r="B20" t="s">
        <v>95</v>
      </c>
    </row>
    <row r="21" spans="2:88" x14ac:dyDescent="0.2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5.75" x14ac:dyDescent="0.2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1.4437762329966231E-2</v>
      </c>
      <c r="I22" s="18">
        <v>1.9139975617865453E-2</v>
      </c>
      <c r="J22" s="18">
        <v>1.8274032514735122E-2</v>
      </c>
      <c r="K22" s="18">
        <v>2.0224827830911406E-2</v>
      </c>
      <c r="L22" s="18">
        <v>2.4843259103428231E-2</v>
      </c>
      <c r="M22" s="18">
        <v>2.1163252827881382E-2</v>
      </c>
      <c r="N22" s="18">
        <v>2.4423926317351258E-2</v>
      </c>
      <c r="O22" s="18">
        <v>2.0259297405097226E-2</v>
      </c>
      <c r="P22" s="18">
        <v>2.3253906608065537E-2</v>
      </c>
      <c r="Q22" s="18">
        <v>3.2178104565411571E-2</v>
      </c>
      <c r="R22" s="18">
        <v>1.8906765581883121E-2</v>
      </c>
      <c r="S22" s="18">
        <v>1.5568823288126104E-2</v>
      </c>
      <c r="T22" s="18">
        <v>1.6856443490507696E-2</v>
      </c>
      <c r="U22" s="18">
        <v>2.8854502082033818E-2</v>
      </c>
      <c r="V22" s="18">
        <v>1.3991526817565689E-2</v>
      </c>
      <c r="W22" s="18">
        <v>1.7662563645982877E-2</v>
      </c>
      <c r="X22" s="19">
        <v>2.1031190228054421E-2</v>
      </c>
      <c r="Y22" s="19">
        <v>2.8474556639807521E-2</v>
      </c>
      <c r="Z22" s="19">
        <v>1.3135763350080844E-2</v>
      </c>
      <c r="AA22" s="19">
        <v>1.816097408743781E-2</v>
      </c>
      <c r="AB22" s="19">
        <v>2.2205897746706216E-2</v>
      </c>
      <c r="AC22" s="19">
        <v>1.6E-2</v>
      </c>
      <c r="AD22" s="19">
        <v>3.9E-2</v>
      </c>
      <c r="AE22" s="20">
        <v>0.03</v>
      </c>
      <c r="AF22" s="20">
        <v>3.4732137375364576E-2</v>
      </c>
      <c r="AG22" s="19">
        <v>2.9979449299789355E-2</v>
      </c>
      <c r="AH22" s="19">
        <v>3.4643946358327515E-2</v>
      </c>
      <c r="AI22" s="19">
        <v>1.8287750210009987E-2</v>
      </c>
      <c r="AJ22" s="19"/>
      <c r="AK22" s="19"/>
      <c r="AL22" s="19"/>
      <c r="AM22" s="19"/>
      <c r="AN22" s="19"/>
      <c r="AO22" s="20"/>
      <c r="AP22" s="20"/>
      <c r="AQ22" s="19"/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5.75" x14ac:dyDescent="0.2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1.0168279437727669E-2</v>
      </c>
      <c r="I23" s="18">
        <v>1.6296309339343569E-2</v>
      </c>
      <c r="J23" s="18">
        <v>2.0505135768278688E-2</v>
      </c>
      <c r="K23" s="18">
        <v>1.5618932562454156E-2</v>
      </c>
      <c r="L23" s="18">
        <v>1.4941812908982749E-2</v>
      </c>
      <c r="M23" s="18">
        <v>1.3014605656963517E-2</v>
      </c>
      <c r="N23" s="18">
        <v>1.3883385031633893E-2</v>
      </c>
      <c r="O23" s="18">
        <v>1.080022634473606E-2</v>
      </c>
      <c r="P23" s="18">
        <v>1.2594400863093606E-2</v>
      </c>
      <c r="Q23" s="18">
        <v>2.0918080154613283E-2</v>
      </c>
      <c r="R23" s="18">
        <v>9.1990473132091636E-3</v>
      </c>
      <c r="S23" s="18">
        <v>8.9642700981454951E-3</v>
      </c>
      <c r="T23" s="18">
        <v>1.8354742146944034E-2</v>
      </c>
      <c r="U23" s="18">
        <v>1.6971744653690224E-2</v>
      </c>
      <c r="V23" s="18">
        <v>9.1915087029889181E-3</v>
      </c>
      <c r="W23" s="18">
        <v>1.2163880024665176E-2</v>
      </c>
      <c r="X23" s="19">
        <v>1.4664146067146857E-2</v>
      </c>
      <c r="Y23" s="19">
        <v>2.5065029834298026E-2</v>
      </c>
      <c r="Z23" s="19">
        <v>6.6346572645513977E-3</v>
      </c>
      <c r="AA23" s="19">
        <v>1.2298358589028804E-2</v>
      </c>
      <c r="AB23" s="19">
        <v>1.5274137293552162E-2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1.0350188900076473E-2</v>
      </c>
      <c r="AH23" s="19">
        <v>1.0263285263674541E-2</v>
      </c>
      <c r="AI23" s="19">
        <v>8.6526540573597602E-3</v>
      </c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5.75" x14ac:dyDescent="0.2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1.3193924647039638E-2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1.4371024306921299E-2</v>
      </c>
      <c r="AG24" s="19">
        <v>8.141439175456051E-3</v>
      </c>
      <c r="AH24" s="19">
        <v>6.0640450060178118E-3</v>
      </c>
      <c r="AI24" s="19">
        <v>1.6970058345412434E-2</v>
      </c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5.75" x14ac:dyDescent="0.2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2.2482425001580028E-2</v>
      </c>
      <c r="AG25" s="19">
        <v>1.2305027868726675E-2</v>
      </c>
      <c r="AH25" s="19">
        <v>1.1260587039863192E-2</v>
      </c>
      <c r="AI25" s="19">
        <v>1.0288851683757662E-2</v>
      </c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5.75" x14ac:dyDescent="0.2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2.8113138481527774E-3</v>
      </c>
      <c r="Y26" s="19">
        <v>5.4512846920112936E-3</v>
      </c>
      <c r="Z26" s="19">
        <v>1.3394653636102328E-3</v>
      </c>
      <c r="AA26" s="19">
        <v>4.3163557852263475E-3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1.7774232797905368E-2</v>
      </c>
      <c r="AG26" s="19">
        <v>1.042463473989901E-2</v>
      </c>
      <c r="AH26" s="19">
        <v>8.9422370276291338E-3</v>
      </c>
      <c r="AI26" s="19">
        <v>2.3726482444878402E-2</v>
      </c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5.75" x14ac:dyDescent="0.25">
      <c r="B27" s="28" t="s">
        <v>93</v>
      </c>
      <c r="C27" s="29">
        <f>SUMPRODUCT(C13:C17,C22:C26)/C18</f>
        <v>8.3339490210565196E-3</v>
      </c>
      <c r="D27" s="29">
        <f t="shared" ref="D27:AE27" si="4">SUMPRODUCT(D13:D17,D22:D26)/D18</f>
        <v>7.8957608927607541E-3</v>
      </c>
      <c r="E27" s="29">
        <f t="shared" si="4"/>
        <v>9.2475830180748213E-3</v>
      </c>
      <c r="F27" s="29">
        <f t="shared" si="4"/>
        <v>1.9607507363518049E-2</v>
      </c>
      <c r="G27" s="29">
        <f t="shared" si="4"/>
        <v>1.9178623326420337E-2</v>
      </c>
      <c r="H27" s="29">
        <f t="shared" si="4"/>
        <v>1.2015657438075466E-2</v>
      </c>
      <c r="I27" s="29">
        <f t="shared" si="4"/>
        <v>1.7555221918023296E-2</v>
      </c>
      <c r="J27" s="29">
        <f t="shared" si="4"/>
        <v>1.9228311863746721E-2</v>
      </c>
      <c r="K27" s="29">
        <f t="shared" si="4"/>
        <v>1.7561842904961038E-2</v>
      </c>
      <c r="L27" s="29">
        <f t="shared" si="4"/>
        <v>1.8919910808120687E-2</v>
      </c>
      <c r="M27" s="29">
        <f t="shared" si="4"/>
        <v>1.6178377592412897E-2</v>
      </c>
      <c r="N27" s="29">
        <f t="shared" si="4"/>
        <v>1.8870335738623172E-2</v>
      </c>
      <c r="O27" s="29">
        <f t="shared" si="4"/>
        <v>1.5657123842798912E-2</v>
      </c>
      <c r="P27" s="29">
        <f t="shared" si="4"/>
        <v>1.7022720789298399E-2</v>
      </c>
      <c r="Q27" s="29">
        <f t="shared" si="4"/>
        <v>2.5927964991538207E-2</v>
      </c>
      <c r="R27" s="29">
        <f t="shared" si="4"/>
        <v>1.3384372162271811E-2</v>
      </c>
      <c r="S27" s="29">
        <f t="shared" si="4"/>
        <v>1.2147047232729819E-2</v>
      </c>
      <c r="T27" s="29">
        <f t="shared" si="4"/>
        <v>1.7722958654830177E-2</v>
      </c>
      <c r="U27" s="29">
        <f t="shared" si="4"/>
        <v>2.2622874423429133E-2</v>
      </c>
      <c r="V27" s="29">
        <f t="shared" si="4"/>
        <v>1.1525619740502337E-2</v>
      </c>
      <c r="W27" s="29">
        <f t="shared" si="4"/>
        <v>1.5215265198089035E-2</v>
      </c>
      <c r="X27" s="19">
        <f t="shared" si="4"/>
        <v>1.1029739392899043E-2</v>
      </c>
      <c r="Y27" s="19">
        <f t="shared" si="4"/>
        <v>1.9108379963777448E-2</v>
      </c>
      <c r="Z27" s="19">
        <f t="shared" si="4"/>
        <v>7.072021092848507E-3</v>
      </c>
      <c r="AA27" s="19">
        <f t="shared" si="4"/>
        <v>1.2144710128009124E-2</v>
      </c>
      <c r="AB27" s="19">
        <f t="shared" si="4"/>
        <v>1.5894724979766624E-2</v>
      </c>
      <c r="AC27" s="19">
        <f t="shared" si="4"/>
        <v>1.0433283870913761E-2</v>
      </c>
      <c r="AD27" s="19">
        <f t="shared" si="4"/>
        <v>2.6897899387083354E-2</v>
      </c>
      <c r="AE27" s="20">
        <f t="shared" si="4"/>
        <v>1.8965314004009776E-2</v>
      </c>
      <c r="AF27" s="20">
        <f>SUMPRODUCT(AF13:AF17,AF22:AF26)/AF18</f>
        <v>2.3692978629970635E-2</v>
      </c>
      <c r="AG27" s="20">
        <f>(AG22*AG13+AG23*AG14+AG24*AG15+AG25*AG16+AG26*AG17)/AG18</f>
        <v>1.6194796121107909E-2</v>
      </c>
      <c r="AH27" s="20">
        <f>(AH22*AH13+AH23*AH14+AH24*AH15+AH25*AH16+AH26*AH17)/AH18</f>
        <v>1.6151856214586254E-2</v>
      </c>
      <c r="AI27" s="20">
        <f>(AI22*AI13+AI23*AI14+AI24*AI15+AI25*AI16+AI26*AI17)/AI18</f>
        <v>1.5095419171480101E-2</v>
      </c>
      <c r="AJ27" s="19"/>
      <c r="AK27" s="19"/>
      <c r="AL27" s="19"/>
      <c r="AM27" s="19"/>
      <c r="AN27" s="19"/>
      <c r="AO27" s="20"/>
      <c r="AP27" s="20"/>
      <c r="AQ27" s="20"/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25">
      <c r="B30" t="s">
        <v>96</v>
      </c>
    </row>
    <row r="31" spans="2:88" x14ac:dyDescent="0.2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5.75" x14ac:dyDescent="0.2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5.4520547945205475</v>
      </c>
      <c r="I32" s="30">
        <v>5.6338158656629993</v>
      </c>
      <c r="J32" s="30">
        <v>5.1283941039565555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10.811549100968188</v>
      </c>
      <c r="Q32" s="30">
        <v>12.520370942812983</v>
      </c>
      <c r="R32" s="30">
        <v>10.366327388178167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10.548973837478044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/>
      <c r="AK32" s="31"/>
      <c r="AL32" s="31"/>
      <c r="AM32" s="31"/>
      <c r="AN32" s="31"/>
      <c r="AO32" s="32"/>
      <c r="AP32" s="32"/>
      <c r="AQ32" s="31"/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5.75" x14ac:dyDescent="0.2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4.9021978021978025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10.177495462794917</v>
      </c>
      <c r="Q33" s="30">
        <v>11.484601311175483</v>
      </c>
      <c r="R33" s="30">
        <v>9.3213090909090912</v>
      </c>
      <c r="S33" s="30">
        <v>6.6703148223213082</v>
      </c>
      <c r="T33" s="30">
        <v>14.292836498761353</v>
      </c>
      <c r="U33" s="30">
        <v>10.050726269564239</v>
      </c>
      <c r="V33" s="30">
        <v>5.8866932736299038</v>
      </c>
      <c r="W33" s="30">
        <v>5.9529819694868236</v>
      </c>
      <c r="X33" s="31">
        <v>7.2550587467362924</v>
      </c>
      <c r="Y33" s="31">
        <v>10.664504629400406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 t="shared" ref="AE33:AF37" si="5">AE4/(AE14*AE23)</f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5.75" x14ac:dyDescent="0.2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5.2749244712990935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 t="shared" si="5"/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1.2513701254616771</v>
      </c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5.75" x14ac:dyDescent="0.2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 t="shared" si="5"/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5.75" x14ac:dyDescent="0.2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 t="shared" si="5"/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5.75" x14ac:dyDescent="0.25">
      <c r="B37" s="13" t="s">
        <v>93</v>
      </c>
      <c r="C37" s="33">
        <f>SUMPRODUCT(C13:C17,C32:C36)/C18</f>
        <v>5.2996453900709222</v>
      </c>
      <c r="D37" s="33">
        <f t="shared" ref="D37:AD37" si="6">SUMPRODUCT(D13:D17,D32:D36)/D18</f>
        <v>4.9864864864864868</v>
      </c>
      <c r="E37" s="33">
        <f t="shared" si="6"/>
        <v>5.2931034482758621</v>
      </c>
      <c r="F37" s="33">
        <f t="shared" si="6"/>
        <v>7.8047161572052399</v>
      </c>
      <c r="G37" s="33">
        <f t="shared" si="6"/>
        <v>6.785372694218931</v>
      </c>
      <c r="H37" s="33">
        <f t="shared" si="6"/>
        <v>5.1401174136807404</v>
      </c>
      <c r="I37" s="33">
        <f t="shared" si="6"/>
        <v>6.0885035158810723</v>
      </c>
      <c r="J37" s="33">
        <f t="shared" si="6"/>
        <v>6.1332727156860702</v>
      </c>
      <c r="K37" s="33">
        <f t="shared" si="6"/>
        <v>5.3527178058107499</v>
      </c>
      <c r="L37" s="33">
        <f t="shared" si="6"/>
        <v>5.3715120535473675</v>
      </c>
      <c r="M37" s="33">
        <f t="shared" si="6"/>
        <v>5.3454260658850261</v>
      </c>
      <c r="N37" s="33">
        <f t="shared" si="6"/>
        <v>6.0900548171145878</v>
      </c>
      <c r="O37" s="33">
        <f t="shared" si="6"/>
        <v>6.2132403748014164</v>
      </c>
      <c r="P37" s="33">
        <f t="shared" si="6"/>
        <v>10.440902831521161</v>
      </c>
      <c r="Q37" s="33">
        <f t="shared" si="6"/>
        <v>11.945442814068828</v>
      </c>
      <c r="R37" s="33">
        <f t="shared" si="6"/>
        <v>9.7718517340139197</v>
      </c>
      <c r="S37" s="33">
        <f t="shared" si="6"/>
        <v>6.8755449198898626</v>
      </c>
      <c r="T37" s="33">
        <f t="shared" si="6"/>
        <v>12.04925528199515</v>
      </c>
      <c r="U37" s="33">
        <f t="shared" si="6"/>
        <v>9.9651604906189704</v>
      </c>
      <c r="V37" s="33">
        <f t="shared" si="6"/>
        <v>5.8805883107385553</v>
      </c>
      <c r="W37" s="33">
        <f t="shared" si="6"/>
        <v>6.3826186546372208</v>
      </c>
      <c r="X37" s="31">
        <f t="shared" si="6"/>
        <v>7.044358563498994</v>
      </c>
      <c r="Y37" s="31">
        <f t="shared" si="6"/>
        <v>9.9001804000889742</v>
      </c>
      <c r="Z37" s="31">
        <f t="shared" si="6"/>
        <v>5.4015650086011213</v>
      </c>
      <c r="AA37" s="31">
        <f t="shared" si="6"/>
        <v>7.1811385053926404</v>
      </c>
      <c r="AB37" s="31">
        <f t="shared" si="6"/>
        <v>7.1262405492748346</v>
      </c>
      <c r="AC37" s="31">
        <f t="shared" si="6"/>
        <v>4.3708967835770531</v>
      </c>
      <c r="AD37" s="31">
        <f t="shared" si="6"/>
        <v>4.6490813281782613</v>
      </c>
      <c r="AE37" s="32">
        <f t="shared" si="5"/>
        <v>6.8861378307008607</v>
      </c>
      <c r="AF37" s="32">
        <f t="shared" si="5"/>
        <v>8.0938808778013875</v>
      </c>
      <c r="AG37" s="32">
        <f>AG8/(AG18*AG27)</f>
        <v>8.1425834408244668</v>
      </c>
      <c r="AH37" s="32">
        <f>AH8/(AH18*AH27)</f>
        <v>6.6823743930082289</v>
      </c>
      <c r="AI37" s="32">
        <f>AI8/(AI18*AI27)</f>
        <v>5.3840713053707816</v>
      </c>
      <c r="AJ37" s="31"/>
      <c r="AK37" s="31"/>
      <c r="AL37" s="31"/>
      <c r="AM37" s="31"/>
      <c r="AN37" s="31"/>
      <c r="AO37" s="32"/>
      <c r="AP37" s="32"/>
      <c r="AQ37" s="32"/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0BAC4-1929-4A90-9490-B3D443649577}">
  <dimension ref="B2:CJ48"/>
  <sheetViews>
    <sheetView topLeftCell="AC1" zoomScale="85" zoomScaleNormal="85" workbookViewId="0">
      <selection activeCell="AS12" sqref="AS12"/>
    </sheetView>
  </sheetViews>
  <sheetFormatPr defaultRowHeight="15" outlineLevelCol="1" x14ac:dyDescent="0.25"/>
  <cols>
    <col min="2" max="2" width="6" bestFit="1" customWidth="1"/>
    <col min="3" max="3" width="14.42578125" customWidth="1"/>
    <col min="4" max="4" width="10.42578125" hidden="1" customWidth="1" outlineLevel="1"/>
    <col min="5" max="7" width="12.5703125" hidden="1" customWidth="1" outlineLevel="1"/>
    <col min="8" max="8" width="11.7109375" hidden="1" customWidth="1" outlineLevel="1"/>
    <col min="9" max="12" width="12.5703125" hidden="1" customWidth="1" outlineLevel="1"/>
    <col min="13" max="13" width="11.7109375" hidden="1" customWidth="1" outlineLevel="1"/>
    <col min="14" max="14" width="11.42578125" hidden="1" customWidth="1" outlineLevel="1"/>
    <col min="15" max="22" width="0" hidden="1" customWidth="1" outlineLevel="1"/>
    <col min="23" max="23" width="9.140625" collapsed="1"/>
    <col min="24" max="25" width="12.85546875" bestFit="1" customWidth="1"/>
    <col min="26" max="29" width="11.5703125" bestFit="1" customWidth="1"/>
    <col min="30" max="30" width="12.85546875" bestFit="1" customWidth="1"/>
    <col min="31" max="37" width="11.5703125" bestFit="1" customWidth="1"/>
    <col min="38" max="38" width="13.7109375" customWidth="1"/>
    <col min="39" max="41" width="12.85546875" bestFit="1" customWidth="1"/>
    <col min="42" max="46" width="11.5703125" bestFit="1" customWidth="1"/>
  </cols>
  <sheetData>
    <row r="2" spans="2:88" x14ac:dyDescent="0.25">
      <c r="B2" t="s">
        <v>0</v>
      </c>
    </row>
    <row r="3" spans="2:88" x14ac:dyDescent="0.2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</row>
    <row r="4" spans="2:88" ht="15.75" x14ac:dyDescent="0.25">
      <c r="B4" t="s">
        <v>88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">
        <f>Z15*Z26*Z37</f>
        <v>69096.999999999782</v>
      </c>
      <c r="AA4" s="1">
        <f>AA15*AA26*AA37</f>
        <v>180642.15</v>
      </c>
      <c r="AB4" s="1">
        <f>AB15*AB26*AB37</f>
        <v>400779.81</v>
      </c>
      <c r="AC4" s="1">
        <f>AC15*AC26*AC37</f>
        <v>105450.349512935</v>
      </c>
      <c r="AD4" s="1">
        <f>AD15*AD26*AD37</f>
        <v>613713.60296498891</v>
      </c>
      <c r="AE4" s="1">
        <f>AE15*AE26*AE37</f>
        <v>332774.83100262377</v>
      </c>
      <c r="AF4" s="1">
        <f>AF15*AF26*AF37</f>
        <v>685868.91975590354</v>
      </c>
      <c r="AG4" s="2">
        <f>AG15*AG26*AG37</f>
        <v>298409.52772637748</v>
      </c>
      <c r="AH4" s="2">
        <f>AH15*AH26*AH37</f>
        <v>293354.93760607985</v>
      </c>
      <c r="AI4" s="1">
        <f>AI15*AI26*AI37</f>
        <v>317600.38182947785</v>
      </c>
      <c r="AJ4" s="1">
        <f>AJ15*AJ26*AJ37</f>
        <v>264261.13982857601</v>
      </c>
      <c r="AK4" s="1">
        <f>AK15*AK26*AK37</f>
        <v>264972.36497448746</v>
      </c>
      <c r="AL4" s="1">
        <f>AL15*AL26*AL37</f>
        <v>350805.27987882047</v>
      </c>
      <c r="AM4" s="1">
        <f>AM15*AM26*AM37</f>
        <v>345716.49836058979</v>
      </c>
      <c r="AN4" s="1">
        <f>AN15*AN26*AN37</f>
        <v>383923.45720675745</v>
      </c>
      <c r="AO4" s="1">
        <f>AO15*AO26*AO37</f>
        <v>329772.58443574834</v>
      </c>
      <c r="AP4" s="1">
        <f>AP15*AP26*AP37</f>
        <v>468057.19613424112</v>
      </c>
      <c r="AQ4" s="1">
        <f>AQ15*AQ26*AQ37</f>
        <v>334072.57428473874</v>
      </c>
      <c r="AR4" s="1">
        <f>AR15*AR26*AR37</f>
        <v>468093.11928652745</v>
      </c>
      <c r="AS4" s="1">
        <f>AS15*AS26*AS37</f>
        <v>336434.20032053057</v>
      </c>
      <c r="AT4" s="1">
        <f>AT15*AT26*AT37</f>
        <v>401078.76609983662</v>
      </c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BS4" s="53"/>
      <c r="BT4" s="53"/>
      <c r="BU4" s="53"/>
      <c r="BV4" s="53"/>
      <c r="BW4" s="53"/>
      <c r="BX4" s="53"/>
      <c r="BY4" s="53"/>
      <c r="BZ4" s="53"/>
      <c r="CA4" s="53"/>
      <c r="CB4" s="53"/>
      <c r="CC4" s="53"/>
      <c r="CD4" s="53"/>
      <c r="CE4" s="53"/>
      <c r="CF4" s="53"/>
      <c r="CG4" s="53"/>
      <c r="CH4" s="53"/>
      <c r="CI4" s="53"/>
      <c r="CJ4" s="53"/>
    </row>
    <row r="5" spans="2:88" ht="15.75" x14ac:dyDescent="0.25">
      <c r="B5" t="s">
        <v>89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1">
        <f>Z16*Z27*Z38</f>
        <v>34022.999999999971</v>
      </c>
      <c r="AA5" s="1">
        <f>AA16*AA27*AA38</f>
        <v>109698.12</v>
      </c>
      <c r="AB5" s="1">
        <f>AB16*AB27*AB38</f>
        <v>241118.01</v>
      </c>
      <c r="AC5" s="1">
        <f>AC16*AC27*AC38</f>
        <v>84022.106865929352</v>
      </c>
      <c r="AD5" s="1">
        <f>AD16*AD27*AD38</f>
        <v>483058.81872078765</v>
      </c>
      <c r="AE5" s="1">
        <f>AE16*AE27*AE38</f>
        <v>244868.66295275494</v>
      </c>
      <c r="AF5" s="1">
        <f>AF16*AF27*AF38</f>
        <v>605266.63238188752</v>
      </c>
      <c r="AG5" s="1">
        <f>AG16*AG27*AG38</f>
        <v>267526.58751410706</v>
      </c>
      <c r="AH5" s="1">
        <f>AH16*AH27*AH38</f>
        <v>89206.28505303993</v>
      </c>
      <c r="AI5" s="1">
        <f>AI16*AI27*AI38</f>
        <v>103192.43727450761</v>
      </c>
      <c r="AJ5" s="1">
        <f>AJ16*AJ27*AJ38</f>
        <v>71695.108279002539</v>
      </c>
      <c r="AK5" s="1">
        <f>AK16*AK27*AK38</f>
        <v>138123.64715499169</v>
      </c>
      <c r="AL5" s="1">
        <f>AL16*AL27*AL38</f>
        <v>184695.03720122596</v>
      </c>
      <c r="AM5" s="1">
        <f>AM16*AM27*AM38</f>
        <v>159314.26727549787</v>
      </c>
      <c r="AN5" s="1">
        <f>AN16*AN27*AN38</f>
        <v>199066.87149461216</v>
      </c>
      <c r="AO5" s="1">
        <f>AO16*AO27*AO38</f>
        <v>139743.42978945273</v>
      </c>
      <c r="AP5" s="1">
        <f>AP16*AP27*AP38</f>
        <v>196494.73865113588</v>
      </c>
      <c r="AQ5" s="1">
        <f>AQ16*AQ27*AQ38</f>
        <v>154230.61665064641</v>
      </c>
      <c r="AR5" s="1">
        <f>AR16*AR27*AR38</f>
        <v>209973.10900717246</v>
      </c>
      <c r="AS5" s="1">
        <f>AS16*AS27*AS38</f>
        <v>169068.11086875523</v>
      </c>
      <c r="AT5" s="1">
        <f>AT16*AT27*AT38</f>
        <v>191115.74182663031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</row>
    <row r="6" spans="2:88" ht="15.75" x14ac:dyDescent="0.25">
      <c r="B6" t="s">
        <v>90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1">
        <f>Z17*Z28*Z39</f>
        <v>5299.9999999999882</v>
      </c>
      <c r="AA6" s="1">
        <f>AA17*AA28*AA39</f>
        <v>16001.94375</v>
      </c>
      <c r="AB6" s="1">
        <f>AB17*AB28*AB39</f>
        <v>35058.427350000005</v>
      </c>
      <c r="AC6" s="1">
        <f>AC17*AC28*AC39</f>
        <v>17801.824840223817</v>
      </c>
      <c r="AD6" s="1">
        <f>AD17*AD28*AD39</f>
        <v>133758.31468019693</v>
      </c>
      <c r="AE6" s="1">
        <f>AE17*AE28*AE39</f>
        <v>47109.288800524759</v>
      </c>
      <c r="AF6" s="1">
        <f>AF17*AF28*AF39</f>
        <v>112712.72640157427</v>
      </c>
      <c r="AG6" s="1">
        <f>AG17*AG28*AG39</f>
        <v>58633.042002821414</v>
      </c>
      <c r="AH6" s="1">
        <f>AH17*AH28*AH39</f>
        <v>21861.804158573847</v>
      </c>
      <c r="AI6" s="1">
        <f>AI17*AI28*AI39</f>
        <v>24778.189925196784</v>
      </c>
      <c r="AJ6" s="1">
        <f>AJ17*AJ28*AJ39</f>
        <v>18513.731225065596</v>
      </c>
      <c r="AK6" s="1">
        <f>AK17*AK28*AK39</f>
        <v>34429.829574777759</v>
      </c>
      <c r="AL6" s="1">
        <f>AL17*AL28*AL39</f>
        <v>51945.908867743368</v>
      </c>
      <c r="AM6" s="1">
        <f>AM17*AM28*AM39</f>
        <v>37769.209607723489</v>
      </c>
      <c r="AN6" s="1">
        <f>AN17*AN28*AN39</f>
        <v>59979.419679618484</v>
      </c>
      <c r="AO6" s="1">
        <f>AO17*AO28*AO39</f>
        <v>43938.66951000072</v>
      </c>
      <c r="AP6" s="1">
        <f>AP17*AP28*AP39</f>
        <v>48381.843695825773</v>
      </c>
      <c r="AQ6" s="1">
        <f>AQ17*AQ28*AQ39</f>
        <v>49844.663533292187</v>
      </c>
      <c r="AR6" s="1">
        <f>AR17*AR28*AR39</f>
        <v>58895.086653424049</v>
      </c>
      <c r="AS6" s="1">
        <f>AS17*AS28*AS39</f>
        <v>42789.790695761774</v>
      </c>
      <c r="AT6" s="1">
        <f>AT17*AT28*AT39</f>
        <v>62809.811537882197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</row>
    <row r="7" spans="2:88" ht="15.75" x14ac:dyDescent="0.25">
      <c r="B7" t="s">
        <v>91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">
        <f>Z18*Z29*Z40</f>
        <v>12186.999999999971</v>
      </c>
      <c r="AA7" s="1">
        <f>AA18*AA29*AA40</f>
        <v>49202.15625</v>
      </c>
      <c r="AB7" s="1">
        <f>AB18*AB29*AB40</f>
        <v>90960.270049999992</v>
      </c>
      <c r="AC7" s="1">
        <f>AC18*AC29*AC40</f>
        <v>47471.532907263507</v>
      </c>
      <c r="AD7" s="1">
        <f>AD18*AD29*AD40</f>
        <v>291917.24873111962</v>
      </c>
      <c r="AE7" s="1">
        <f>AE18*AE29*AE40</f>
        <v>111245.81354120695</v>
      </c>
      <c r="AF7" s="1">
        <f>AF18*AF29*AF40</f>
        <v>293040.16062362085</v>
      </c>
      <c r="AG7" s="1">
        <f>AG18*AG29*AG40</f>
        <v>137788.66393148925</v>
      </c>
      <c r="AH7" s="1">
        <f>AH18*AH29*AH40</f>
        <v>108827.00187884487</v>
      </c>
      <c r="AI7" s="1">
        <f>AI18*AI29*AI40</f>
        <v>137611.16925090036</v>
      </c>
      <c r="AJ7" s="1">
        <f>AJ18*AJ29*AJ40</f>
        <v>112984.41607842513</v>
      </c>
      <c r="AK7" s="1">
        <f>AK18*AK29*AK40</f>
        <v>127649.92041005955</v>
      </c>
      <c r="AL7" s="1">
        <f>AL18*AL29*AL40</f>
        <v>153446.95602198329</v>
      </c>
      <c r="AM7" s="1">
        <f>AM18*AM29*AM40</f>
        <v>124388.64387352044</v>
      </c>
      <c r="AN7" s="1">
        <f>AN18*AN29*AN40</f>
        <v>156056.97171710638</v>
      </c>
      <c r="AO7" s="1">
        <f>AO18*AO29*AO40</f>
        <v>147677.51031349486</v>
      </c>
      <c r="AP7" s="1">
        <f>AP18*AP29*AP40</f>
        <v>169690.0796554733</v>
      </c>
      <c r="AQ7" s="1">
        <f>AQ18*AQ29*AQ40</f>
        <v>141367.7577345575</v>
      </c>
      <c r="AR7" s="1">
        <f>AR18*AR29*AR40</f>
        <v>180486.62483531493</v>
      </c>
      <c r="AS7" s="1">
        <f>AS18*AS29*AS40</f>
        <v>149719.16342925839</v>
      </c>
      <c r="AT7" s="1">
        <f>AT18*AT29*AT40</f>
        <v>169777.89816659209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</row>
    <row r="8" spans="2:88" ht="15.75" x14ac:dyDescent="0.25">
      <c r="B8" t="s">
        <v>92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1">
        <f>Z19*Z30*Z41</f>
        <v>3516.9999999999741</v>
      </c>
      <c r="AA8" s="1">
        <f>AA19*AA30*AA41</f>
        <v>50821.509375000001</v>
      </c>
      <c r="AB8" s="1">
        <f>AB19*AB30*AB41</f>
        <v>60348.140599999999</v>
      </c>
      <c r="AC8" s="1">
        <f>AC19*AC30*AC41</f>
        <v>23735.766453631753</v>
      </c>
      <c r="AD8" s="1">
        <f>AD19*AD30*AD41</f>
        <v>157044.30339280452</v>
      </c>
      <c r="AE8" s="1">
        <f>AE19*AE30*AE41</f>
        <v>50165.530860367333</v>
      </c>
      <c r="AF8" s="1">
        <f>AF19*AF30*AF41</f>
        <v>101440.29258110198</v>
      </c>
      <c r="AG8" s="1">
        <f>AG19*AG30*AG41</f>
        <v>81918.285139475003</v>
      </c>
      <c r="AH8" s="1">
        <f>AH19*AH30*AH41</f>
        <v>19091.23660848639</v>
      </c>
      <c r="AI8" s="1">
        <f>AI19*AI30*AI41</f>
        <v>26158.868197637748</v>
      </c>
      <c r="AJ8" s="1">
        <f>AJ19*AJ30*AJ41</f>
        <v>21732.393982545917</v>
      </c>
      <c r="AK8" s="1">
        <f>AK19*AK30*AK41</f>
        <v>66458.424543427682</v>
      </c>
      <c r="AL8" s="1">
        <f>AL19*AL30*AL41</f>
        <v>137706.65936582102</v>
      </c>
      <c r="AM8" s="1">
        <f>AM19*AM30*AM41</f>
        <v>72105.832850847102</v>
      </c>
      <c r="AN8" s="1">
        <f>AN19*AN30*AN41</f>
        <v>140534.99976318842</v>
      </c>
      <c r="AO8" s="1">
        <f>AO19*AO30*AO41</f>
        <v>71234.175203151797</v>
      </c>
      <c r="AP8" s="1">
        <f>AP19*AP30*AP41</f>
        <v>144663.80478419227</v>
      </c>
      <c r="AQ8" s="1">
        <f>AQ19*AQ30*AQ41</f>
        <v>75409.602415202622</v>
      </c>
      <c r="AR8" s="1">
        <f>AR19*AR30*AR41</f>
        <v>152007.83918318711</v>
      </c>
      <c r="AS8" s="1">
        <f>AS19*AS30*AS41</f>
        <v>76420.198903411088</v>
      </c>
      <c r="AT8" s="1">
        <f>AT19*AT30*AT41</f>
        <v>148914.59188794837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</row>
    <row r="9" spans="2:88" ht="15.75" x14ac:dyDescent="0.25">
      <c r="B9" s="3" t="s">
        <v>93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1">
        <f>SUBTOTAL(109,Z4:Z8)</f>
        <v>124123.99999999968</v>
      </c>
      <c r="AA9" s="1">
        <f>SUBTOTAL(109,AA4:AA8)</f>
        <v>406365.87937500002</v>
      </c>
      <c r="AB9" s="1">
        <f>SUBTOTAL(109,AB4:AB8)</f>
        <v>828264.65800000005</v>
      </c>
      <c r="AC9" s="1">
        <f>SUBTOTAL(109,AC4:AC8)</f>
        <v>278481.58057998342</v>
      </c>
      <c r="AD9" s="1">
        <f>SUBTOTAL(109,AD4:AD8)</f>
        <v>1679492.2884898975</v>
      </c>
      <c r="AE9" s="1">
        <f>SUBTOTAL(109,AE4:AE8)</f>
        <v>786164.12715747778</v>
      </c>
      <c r="AF9" s="1">
        <f>SUBTOTAL(109,AF4:AF8)</f>
        <v>1798328.7317440882</v>
      </c>
      <c r="AG9" s="1">
        <f>SUBTOTAL(109,AG4:AG8)</f>
        <v>844276.10631427018</v>
      </c>
      <c r="AH9" s="1">
        <f>SUBTOTAL(109,AH4:AH8)</f>
        <v>532341.2653050248</v>
      </c>
      <c r="AI9" s="1">
        <f>SUBTOTAL(109,AI4:AI8)</f>
        <v>609341.04647772037</v>
      </c>
      <c r="AJ9" s="1">
        <f>SUBTOTAL(109,AJ4:AJ8)</f>
        <v>489186.78939361521</v>
      </c>
      <c r="AK9" s="1">
        <f>SUBTOTAL(109,AK4:AK8)</f>
        <v>631634.18665774411</v>
      </c>
      <c r="AL9" s="1">
        <f>SUBTOTAL(109,AL4:AL8)</f>
        <v>878599.84133559407</v>
      </c>
      <c r="AM9" s="1">
        <f>SUBTOTAL(109,AM4:AM8)</f>
        <v>739294.45196817862</v>
      </c>
      <c r="AN9" s="1">
        <f>SUBTOTAL(109,AN4:AN8)</f>
        <v>939561.71986128285</v>
      </c>
      <c r="AO9" s="1">
        <f>SUBTOTAL(109,AO4:AO8)</f>
        <v>732366.36925184843</v>
      </c>
      <c r="AP9" s="1">
        <f>SUBTOTAL(109,AP4:AP8)</f>
        <v>1027287.6629208683</v>
      </c>
      <c r="AQ9" s="1">
        <f>SUBTOTAL(109,AQ4:AQ8)</f>
        <v>754925.21461843757</v>
      </c>
      <c r="AR9" s="1">
        <f>SUBTOTAL(109,AR4:AR8)</f>
        <v>1069455.7789656259</v>
      </c>
      <c r="AS9" s="1">
        <f>SUBTOTAL(109,AS4:AS8)</f>
        <v>774431.46421771706</v>
      </c>
      <c r="AT9" s="1">
        <f>SUBTOTAL(109,AT4:AT8)</f>
        <v>973696.80951888952</v>
      </c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</row>
    <row r="11" spans="2:88" ht="15.75" x14ac:dyDescent="0.25">
      <c r="W11" s="1" t="s">
        <v>100</v>
      </c>
      <c r="X11" s="1">
        <v>317824</v>
      </c>
      <c r="Y11" s="1">
        <v>1033311</v>
      </c>
      <c r="Z11" s="1">
        <v>123200</v>
      </c>
      <c r="AA11" s="1">
        <v>449050</v>
      </c>
      <c r="AB11" s="1">
        <v>569093</v>
      </c>
      <c r="AC11" s="1">
        <v>162433</v>
      </c>
      <c r="AD11" s="2">
        <v>1864888</v>
      </c>
      <c r="AE11" s="1">
        <v>1000154</v>
      </c>
      <c r="AF11" s="1">
        <v>1266927</v>
      </c>
      <c r="AG11" s="1">
        <v>1071603</v>
      </c>
    </row>
    <row r="13" spans="2:88" x14ac:dyDescent="0.25">
      <c r="B13" t="s">
        <v>94</v>
      </c>
    </row>
    <row r="14" spans="2:88" x14ac:dyDescent="0.25">
      <c r="B14" s="43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  <c r="U14" t="s">
        <v>20</v>
      </c>
      <c r="V14" t="s">
        <v>21</v>
      </c>
      <c r="W14" t="s">
        <v>22</v>
      </c>
      <c r="X14" t="s">
        <v>23</v>
      </c>
      <c r="Y14" t="s">
        <v>24</v>
      </c>
      <c r="Z14" t="s">
        <v>25</v>
      </c>
      <c r="AA14" t="s">
        <v>26</v>
      </c>
      <c r="AB14" t="s">
        <v>27</v>
      </c>
      <c r="AC14" t="s">
        <v>28</v>
      </c>
      <c r="AD14" t="s">
        <v>29</v>
      </c>
      <c r="AE14" t="s">
        <v>30</v>
      </c>
      <c r="AF14" t="s">
        <v>31</v>
      </c>
      <c r="AG14" t="s">
        <v>32</v>
      </c>
      <c r="AH14" t="s">
        <v>33</v>
      </c>
      <c r="AI14" t="s">
        <v>34</v>
      </c>
      <c r="AJ14" t="s">
        <v>35</v>
      </c>
      <c r="AK14" t="s">
        <v>36</v>
      </c>
      <c r="AL14" t="s">
        <v>37</v>
      </c>
      <c r="AM14" t="s">
        <v>38</v>
      </c>
      <c r="AN14" t="s">
        <v>39</v>
      </c>
      <c r="AO14" t="s">
        <v>40</v>
      </c>
      <c r="AP14" t="s">
        <v>41</v>
      </c>
      <c r="AQ14" t="s">
        <v>42</v>
      </c>
      <c r="AR14" t="s">
        <v>43</v>
      </c>
      <c r="AS14" t="s">
        <v>44</v>
      </c>
      <c r="AT14" t="s">
        <v>45</v>
      </c>
      <c r="AU14" s="43" t="s">
        <v>46</v>
      </c>
      <c r="AV14" s="43" t="s">
        <v>47</v>
      </c>
      <c r="AW14" s="43" t="s">
        <v>48</v>
      </c>
      <c r="AX14" s="43" t="s">
        <v>49</v>
      </c>
      <c r="AY14" s="43" t="s">
        <v>50</v>
      </c>
      <c r="AZ14" s="43" t="s">
        <v>51</v>
      </c>
      <c r="BA14" s="43" t="s">
        <v>52</v>
      </c>
      <c r="BB14" s="43" t="s">
        <v>53</v>
      </c>
      <c r="BC14" s="43" t="s">
        <v>54</v>
      </c>
      <c r="BD14" s="43" t="s">
        <v>55</v>
      </c>
      <c r="BE14" s="43" t="s">
        <v>56</v>
      </c>
      <c r="BF14" s="43" t="s">
        <v>57</v>
      </c>
      <c r="BG14" s="43" t="s">
        <v>58</v>
      </c>
      <c r="BH14" s="43" t="s">
        <v>59</v>
      </c>
      <c r="BI14" s="43" t="s">
        <v>60</v>
      </c>
      <c r="BJ14" s="43" t="s">
        <v>61</v>
      </c>
      <c r="BK14" s="43" t="s">
        <v>62</v>
      </c>
      <c r="BL14" s="43" t="s">
        <v>63</v>
      </c>
      <c r="BM14" s="43" t="s">
        <v>64</v>
      </c>
      <c r="BN14" s="43" t="s">
        <v>65</v>
      </c>
      <c r="BO14" s="43" t="s">
        <v>66</v>
      </c>
      <c r="BP14" s="43" t="s">
        <v>67</v>
      </c>
      <c r="BQ14" s="43" t="s">
        <v>68</v>
      </c>
      <c r="BR14" s="43" t="s">
        <v>69</v>
      </c>
      <c r="BS14" s="43" t="s">
        <v>70</v>
      </c>
      <c r="BT14" s="43" t="s">
        <v>71</v>
      </c>
      <c r="BU14" s="43" t="s">
        <v>72</v>
      </c>
      <c r="BV14" s="43" t="s">
        <v>73</v>
      </c>
      <c r="BW14" s="43" t="s">
        <v>74</v>
      </c>
      <c r="BX14" s="43" t="s">
        <v>75</v>
      </c>
      <c r="BY14" s="43" t="s">
        <v>76</v>
      </c>
      <c r="BZ14" s="43" t="s">
        <v>77</v>
      </c>
      <c r="CA14" s="43" t="s">
        <v>78</v>
      </c>
      <c r="CB14" s="43" t="s">
        <v>79</v>
      </c>
      <c r="CC14" s="43" t="s">
        <v>80</v>
      </c>
      <c r="CD14" s="43" t="s">
        <v>81</v>
      </c>
      <c r="CE14" s="43" t="s">
        <v>82</v>
      </c>
      <c r="CF14" s="43" t="s">
        <v>83</v>
      </c>
      <c r="CG14" s="43" t="s">
        <v>84</v>
      </c>
      <c r="CH14" s="43" t="s">
        <v>85</v>
      </c>
      <c r="CI14" s="43" t="s">
        <v>86</v>
      </c>
      <c r="CJ14" s="43" t="s">
        <v>87</v>
      </c>
    </row>
    <row r="15" spans="2:88" ht="15.75" x14ac:dyDescent="0.25">
      <c r="B15" s="9" t="s">
        <v>88</v>
      </c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1">
        <v>775356</v>
      </c>
      <c r="AA15" s="1">
        <v>1003567.5</v>
      </c>
      <c r="AB15" s="1">
        <v>2226554.5</v>
      </c>
      <c r="AC15" s="1">
        <v>1004289.0429803334</v>
      </c>
      <c r="AD15" s="1">
        <v>3506934.8740856512</v>
      </c>
      <c r="AE15" s="1">
        <v>2773123.5916885315</v>
      </c>
      <c r="AF15" s="1">
        <v>2540255.2583551984</v>
      </c>
      <c r="AG15" s="2">
        <v>1105220.4730606573</v>
      </c>
      <c r="AH15" s="2">
        <v>1676313.929177599</v>
      </c>
      <c r="AI15" s="1">
        <v>1539880.639173226</v>
      </c>
      <c r="AJ15" s="1">
        <v>1281266.1325021866</v>
      </c>
      <c r="AK15" s="1">
        <v>1180637.6888888888</v>
      </c>
      <c r="AL15" s="1">
        <v>1291804.5555555555</v>
      </c>
      <c r="AM15" s="1">
        <v>1540409.4222222222</v>
      </c>
      <c r="AN15" s="1">
        <v>1413758.8555555556</v>
      </c>
      <c r="AO15" s="1">
        <v>1469368.1055555556</v>
      </c>
      <c r="AP15" s="1">
        <v>1723572.7422222223</v>
      </c>
      <c r="AQ15" s="1">
        <v>1488527.5755555555</v>
      </c>
      <c r="AR15" s="1">
        <v>1723705.0255555557</v>
      </c>
      <c r="AS15" s="2">
        <v>1499050.2755555557</v>
      </c>
      <c r="AT15" s="2">
        <v>1476931.5255555557</v>
      </c>
      <c r="AU15" s="51"/>
      <c r="AV15" s="51"/>
      <c r="AW15" s="51"/>
      <c r="AX15" s="51"/>
      <c r="AY15" s="51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  <c r="BQ15" s="51"/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  <c r="CD15" s="51"/>
      <c r="CE15" s="51"/>
      <c r="CF15" s="51"/>
      <c r="CG15" s="51"/>
      <c r="CH15" s="51"/>
      <c r="CI15" s="51"/>
      <c r="CJ15" s="51"/>
    </row>
    <row r="16" spans="2:88" ht="15.75" x14ac:dyDescent="0.25">
      <c r="B16" s="8" t="s">
        <v>89</v>
      </c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1">
        <v>817784</v>
      </c>
      <c r="AA16" s="1">
        <v>1044744</v>
      </c>
      <c r="AB16" s="1">
        <v>2296362</v>
      </c>
      <c r="AC16" s="1">
        <v>1120294.7582123913</v>
      </c>
      <c r="AD16" s="1">
        <v>3450420.1337199118</v>
      </c>
      <c r="AE16" s="1">
        <v>2720762.9216972776</v>
      </c>
      <c r="AF16" s="1">
        <v>2690073.9216972776</v>
      </c>
      <c r="AG16" s="1">
        <v>1189007.0556182535</v>
      </c>
      <c r="AH16" s="1">
        <v>1427300.5608486389</v>
      </c>
      <c r="AI16" s="1">
        <v>1250817.4215091832</v>
      </c>
      <c r="AJ16" s="1">
        <v>869031.6155030611</v>
      </c>
      <c r="AK16" s="1">
        <v>1474744.5444444444</v>
      </c>
      <c r="AL16" s="1">
        <v>1629741.0944444444</v>
      </c>
      <c r="AM16" s="1">
        <v>1700996.5444444446</v>
      </c>
      <c r="AN16" s="1">
        <v>1756557.5444444444</v>
      </c>
      <c r="AO16" s="1">
        <v>1492038.9444444445</v>
      </c>
      <c r="AP16" s="1">
        <v>1733861.1544444445</v>
      </c>
      <c r="AQ16" s="1">
        <v>1646718.4669444445</v>
      </c>
      <c r="AR16" s="1">
        <v>1852793.7169444445</v>
      </c>
      <c r="AS16" s="1">
        <v>1805138.2169444445</v>
      </c>
      <c r="AT16" s="1">
        <v>1686397.1169444444</v>
      </c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</row>
    <row r="17" spans="2:88" ht="15.75" x14ac:dyDescent="0.25">
      <c r="B17" s="9" t="s">
        <v>90</v>
      </c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1">
        <v>165643</v>
      </c>
      <c r="AA17" s="1">
        <v>196947</v>
      </c>
      <c r="AB17" s="1">
        <v>508093.15</v>
      </c>
      <c r="AC17" s="1">
        <v>296697.08067039697</v>
      </c>
      <c r="AD17" s="1">
        <v>1091904.6096342604</v>
      </c>
      <c r="AE17" s="1">
        <v>785154.81334207929</v>
      </c>
      <c r="AF17" s="1">
        <v>626181.81334207929</v>
      </c>
      <c r="AG17" s="1">
        <v>372273.28255759628</v>
      </c>
      <c r="AH17" s="1">
        <v>397487.34833770629</v>
      </c>
      <c r="AI17" s="1">
        <v>330375.86566929042</v>
      </c>
      <c r="AJ17" s="1">
        <v>246849.74966754127</v>
      </c>
      <c r="AK17" s="1">
        <v>514037.93403995328</v>
      </c>
      <c r="AL17" s="1">
        <v>640953.13403995335</v>
      </c>
      <c r="AM17" s="1">
        <v>563894.93403995328</v>
      </c>
      <c r="AN17" s="1">
        <v>740077.47403995332</v>
      </c>
      <c r="AO17" s="1">
        <v>656005.0740399533</v>
      </c>
      <c r="AP17" s="1">
        <v>596976.64403995336</v>
      </c>
      <c r="AQ17" s="1">
        <v>744181.66403995338</v>
      </c>
      <c r="AR17" s="1">
        <v>726698.04403995327</v>
      </c>
      <c r="AS17" s="1">
        <v>638852.29403995327</v>
      </c>
      <c r="AT17" s="1">
        <v>775001.27403995325</v>
      </c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</row>
    <row r="18" spans="2:88" ht="15.75" x14ac:dyDescent="0.25">
      <c r="B18" s="8" t="s">
        <v>91</v>
      </c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1">
        <v>484866</v>
      </c>
      <c r="AA18" s="1">
        <v>605565</v>
      </c>
      <c r="AB18" s="1">
        <v>1318264.7833333332</v>
      </c>
      <c r="AC18" s="1">
        <v>791192.21512105851</v>
      </c>
      <c r="AD18" s="1">
        <v>2382997.948825466</v>
      </c>
      <c r="AE18" s="1">
        <v>1854096.892353449</v>
      </c>
      <c r="AF18" s="1">
        <v>1628000.892353449</v>
      </c>
      <c r="AG18" s="1">
        <v>874848.65988247143</v>
      </c>
      <c r="AH18" s="1">
        <v>1295559.5461767246</v>
      </c>
      <c r="AI18" s="1">
        <v>1164962.2793727014</v>
      </c>
      <c r="AJ18" s="1">
        <v>956481.82923534489</v>
      </c>
      <c r="AK18" s="1">
        <v>1336375.9907409865</v>
      </c>
      <c r="AL18" s="1">
        <v>1327642.1240743198</v>
      </c>
      <c r="AM18" s="1">
        <v>1302233.4574076533</v>
      </c>
      <c r="AN18" s="1">
        <v>1350224.30407432</v>
      </c>
      <c r="AO18" s="1">
        <v>1546046.2374076531</v>
      </c>
      <c r="AP18" s="1">
        <v>1468179.6474076533</v>
      </c>
      <c r="AQ18" s="1">
        <v>1479988.99407432</v>
      </c>
      <c r="AR18" s="1">
        <v>1561592.6974076533</v>
      </c>
      <c r="AS18" s="1">
        <v>1567420.4474076533</v>
      </c>
      <c r="AT18" s="1">
        <v>1468939.4640743199</v>
      </c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</row>
    <row r="19" spans="2:88" ht="15.75" x14ac:dyDescent="0.25">
      <c r="B19" s="9" t="s">
        <v>92</v>
      </c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1">
        <v>439948</v>
      </c>
      <c r="AA19" s="1">
        <v>625495.5</v>
      </c>
      <c r="AB19" s="1">
        <v>874610.7333333334</v>
      </c>
      <c r="AC19" s="1">
        <v>395596.10756052926</v>
      </c>
      <c r="AD19" s="1">
        <v>1281994.3134106491</v>
      </c>
      <c r="AE19" s="1">
        <v>836092.18100612215</v>
      </c>
      <c r="AF19" s="1">
        <v>563557.18100612215</v>
      </c>
      <c r="AG19" s="1">
        <v>520116.09612365079</v>
      </c>
      <c r="AH19" s="1">
        <v>381824.73216972774</v>
      </c>
      <c r="AI19" s="1">
        <v>348784.90930183668</v>
      </c>
      <c r="AJ19" s="1">
        <v>289765.2531006122</v>
      </c>
      <c r="AK19" s="1">
        <v>825971.89056297007</v>
      </c>
      <c r="AL19" s="1">
        <v>980242.89056297007</v>
      </c>
      <c r="AM19" s="1">
        <v>896160.14056297007</v>
      </c>
      <c r="AN19" s="1">
        <v>1000375.98056297</v>
      </c>
      <c r="AO19" s="1">
        <v>885326.83056297014</v>
      </c>
      <c r="AP19" s="1">
        <v>1029766.22056297</v>
      </c>
      <c r="AQ19" s="1">
        <v>937220.71056297002</v>
      </c>
      <c r="AR19" s="1">
        <v>1082043.5580629702</v>
      </c>
      <c r="AS19" s="1">
        <v>949780.80806297006</v>
      </c>
      <c r="AT19" s="1">
        <v>1060024.7705629701</v>
      </c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</row>
    <row r="20" spans="2:88" ht="15.75" x14ac:dyDescent="0.25">
      <c r="B20" s="40" t="s">
        <v>93</v>
      </c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1">
        <f>SUM(Z15:Z19)</f>
        <v>2683597</v>
      </c>
      <c r="AA20" s="1">
        <f>SUM(AA15:AA19)</f>
        <v>3476319</v>
      </c>
      <c r="AB20" s="1">
        <f>SUM(AB15:AB19)</f>
        <v>7223885.166666667</v>
      </c>
      <c r="AC20" s="1">
        <f>SUM(AC15:AC19)</f>
        <v>3608069.2045447091</v>
      </c>
      <c r="AD20" s="1">
        <f>SUM(AD15:AD19)</f>
        <v>11714251.87967594</v>
      </c>
      <c r="AE20" s="1">
        <f>SUM(AE15:AE19)</f>
        <v>8969230.400087459</v>
      </c>
      <c r="AF20" s="1">
        <f>SUM(AF15:AF19)</f>
        <v>8048069.0667541269</v>
      </c>
      <c r="AG20" s="2">
        <f>SUM(AG15:AG19)</f>
        <v>4061465.5672426294</v>
      </c>
      <c r="AH20" s="2">
        <f>SUM(AH15:AH19)</f>
        <v>5178486.1167103965</v>
      </c>
      <c r="AI20" s="1">
        <f>SUM(AI15:AI19)</f>
        <v>4634821.1150262384</v>
      </c>
      <c r="AJ20" s="1">
        <f>SUM(AJ15:AJ19)</f>
        <v>3643394.5800087461</v>
      </c>
      <c r="AK20" s="1">
        <f>SUM(AK15:AK19)</f>
        <v>5331768.0486772433</v>
      </c>
      <c r="AL20" s="1">
        <f>SUM(AL15:AL19)</f>
        <v>5870383.7986772433</v>
      </c>
      <c r="AM20" s="1">
        <f>SUM(AM15:AM19)</f>
        <v>6003694.4986772435</v>
      </c>
      <c r="AN20" s="1">
        <f>SUM(AN15:AN19)</f>
        <v>6260994.1586772427</v>
      </c>
      <c r="AO20" s="1">
        <f>SUM(AO15:AO19)</f>
        <v>6048785.1920105759</v>
      </c>
      <c r="AP20" s="1">
        <f>SUM(AP15:AP19)</f>
        <v>6552356.4086772427</v>
      </c>
      <c r="AQ20" s="1">
        <f>SUM(AQ15:AQ19)</f>
        <v>6296637.411177244</v>
      </c>
      <c r="AR20" s="1">
        <f>SUM(AR15:AR19)</f>
        <v>6946833.0420105774</v>
      </c>
      <c r="AS20" s="2">
        <f>SUM(AS15:AS19)</f>
        <v>6460242.0420105765</v>
      </c>
      <c r="AT20" s="2">
        <f>SUM(AT15:AT19)</f>
        <v>6467294.1511772433</v>
      </c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</row>
    <row r="22" spans="2:88" ht="30" x14ac:dyDescent="0.25">
      <c r="AK22" s="48" t="s">
        <v>99</v>
      </c>
      <c r="AL22" s="1">
        <v>50400000</v>
      </c>
      <c r="AM22" s="48" t="s">
        <v>98</v>
      </c>
      <c r="AN22" s="1">
        <v>62200000</v>
      </c>
      <c r="AO22">
        <f>AN22/AL22-1</f>
        <v>0.23412698412698418</v>
      </c>
    </row>
    <row r="24" spans="2:88" x14ac:dyDescent="0.25">
      <c r="B24" t="s">
        <v>97</v>
      </c>
    </row>
    <row r="25" spans="2:88" x14ac:dyDescent="0.25">
      <c r="B25" s="43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  <c r="U25" t="s">
        <v>20</v>
      </c>
      <c r="V25" t="s">
        <v>21</v>
      </c>
      <c r="W25" t="s">
        <v>22</v>
      </c>
      <c r="X25" t="s">
        <v>23</v>
      </c>
      <c r="Y25" t="s">
        <v>24</v>
      </c>
      <c r="Z25" t="s">
        <v>25</v>
      </c>
      <c r="AA25" t="s">
        <v>26</v>
      </c>
      <c r="AB25" t="s">
        <v>27</v>
      </c>
      <c r="AC25" t="s">
        <v>28</v>
      </c>
      <c r="AD25" t="s">
        <v>29</v>
      </c>
      <c r="AE25" t="s">
        <v>30</v>
      </c>
      <c r="AF25" t="s">
        <v>31</v>
      </c>
      <c r="AG25" t="s">
        <v>32</v>
      </c>
      <c r="AH25" t="s">
        <v>33</v>
      </c>
      <c r="AI25" t="s">
        <v>34</v>
      </c>
      <c r="AJ25" t="s">
        <v>35</v>
      </c>
      <c r="AK25" t="s">
        <v>36</v>
      </c>
      <c r="AL25" t="s">
        <v>37</v>
      </c>
      <c r="AM25" t="s">
        <v>38</v>
      </c>
      <c r="AN25" t="s">
        <v>39</v>
      </c>
      <c r="AO25" t="s">
        <v>40</v>
      </c>
      <c r="AP25" t="s">
        <v>41</v>
      </c>
      <c r="AQ25" t="s">
        <v>42</v>
      </c>
      <c r="AR25" t="s">
        <v>43</v>
      </c>
      <c r="AS25" t="s">
        <v>44</v>
      </c>
      <c r="AT25" t="s">
        <v>45</v>
      </c>
      <c r="AU25" s="43" t="s">
        <v>46</v>
      </c>
      <c r="AV25" s="43" t="s">
        <v>47</v>
      </c>
      <c r="AW25" s="43" t="s">
        <v>48</v>
      </c>
      <c r="AX25" s="43" t="s">
        <v>49</v>
      </c>
      <c r="AY25" s="43" t="s">
        <v>50</v>
      </c>
      <c r="AZ25" s="43" t="s">
        <v>51</v>
      </c>
      <c r="BA25" s="43" t="s">
        <v>52</v>
      </c>
      <c r="BB25" s="43" t="s">
        <v>53</v>
      </c>
      <c r="BC25" s="43" t="s">
        <v>54</v>
      </c>
      <c r="BD25" s="43" t="s">
        <v>55</v>
      </c>
      <c r="BE25" s="43" t="s">
        <v>56</v>
      </c>
      <c r="BF25" s="43" t="s">
        <v>57</v>
      </c>
      <c r="BG25" s="43" t="s">
        <v>58</v>
      </c>
      <c r="BH25" s="43" t="s">
        <v>59</v>
      </c>
      <c r="BI25" s="43" t="s">
        <v>60</v>
      </c>
      <c r="BJ25" s="43" t="s">
        <v>61</v>
      </c>
      <c r="BK25" s="43" t="s">
        <v>62</v>
      </c>
      <c r="BL25" s="43" t="s">
        <v>63</v>
      </c>
      <c r="BM25" s="43" t="s">
        <v>64</v>
      </c>
      <c r="BN25" s="43" t="s">
        <v>65</v>
      </c>
      <c r="BO25" s="43" t="s">
        <v>66</v>
      </c>
      <c r="BP25" s="43" t="s">
        <v>67</v>
      </c>
      <c r="BQ25" s="43" t="s">
        <v>68</v>
      </c>
      <c r="BR25" s="43" t="s">
        <v>69</v>
      </c>
      <c r="BS25" s="43" t="s">
        <v>70</v>
      </c>
      <c r="BT25" s="43" t="s">
        <v>71</v>
      </c>
      <c r="BU25" s="43" t="s">
        <v>72</v>
      </c>
      <c r="BV25" s="43" t="s">
        <v>73</v>
      </c>
      <c r="BW25" s="43" t="s">
        <v>74</v>
      </c>
      <c r="BX25" s="43" t="s">
        <v>75</v>
      </c>
      <c r="BY25" s="43" t="s">
        <v>76</v>
      </c>
      <c r="BZ25" s="43" t="s">
        <v>77</v>
      </c>
      <c r="CA25" s="43" t="s">
        <v>78</v>
      </c>
      <c r="CB25" s="43" t="s">
        <v>79</v>
      </c>
      <c r="CC25" s="43" t="s">
        <v>80</v>
      </c>
      <c r="CD25" s="43" t="s">
        <v>81</v>
      </c>
      <c r="CE25" s="43" t="s">
        <v>82</v>
      </c>
      <c r="CF25" s="43" t="s">
        <v>83</v>
      </c>
      <c r="CG25" s="43" t="s">
        <v>84</v>
      </c>
      <c r="CH25" s="43" t="s">
        <v>85</v>
      </c>
      <c r="CI25" s="43" t="s">
        <v>86</v>
      </c>
      <c r="CJ25" s="43" t="s">
        <v>87</v>
      </c>
    </row>
    <row r="26" spans="2:88" ht="15.75" x14ac:dyDescent="0.25">
      <c r="B26" s="9" t="s">
        <v>88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45">
        <v>1.5728259019082799E-2</v>
      </c>
      <c r="AA26" s="45">
        <v>2.2499999999999999E-2</v>
      </c>
      <c r="AB26" s="45">
        <v>2.2499999999999999E-2</v>
      </c>
      <c r="AC26" s="45">
        <v>1.7500000000000002E-2</v>
      </c>
      <c r="AD26" s="45">
        <v>2.5000000000000001E-2</v>
      </c>
      <c r="AE26" s="45">
        <v>0.02</v>
      </c>
      <c r="AF26" s="45">
        <v>0.03</v>
      </c>
      <c r="AG26" s="45">
        <v>0.03</v>
      </c>
      <c r="AH26" s="45">
        <v>2.5000000000000001E-2</v>
      </c>
      <c r="AI26" s="45">
        <v>2.75E-2</v>
      </c>
      <c r="AJ26" s="45">
        <v>2.75E-2</v>
      </c>
      <c r="AK26" s="45">
        <v>2.5582525859249354E-2</v>
      </c>
      <c r="AL26" s="47">
        <v>2.8140778445174291E-2</v>
      </c>
      <c r="AM26" s="45">
        <v>2.5582525859249354E-2</v>
      </c>
      <c r="AN26" s="47">
        <v>2.8140778445174291E-2</v>
      </c>
      <c r="AO26" s="45">
        <v>2.5582525859249354E-2</v>
      </c>
      <c r="AP26" s="47">
        <v>2.8140778445174291E-2</v>
      </c>
      <c r="AQ26" s="45">
        <v>2.5582525859249354E-2</v>
      </c>
      <c r="AR26" s="47">
        <v>2.8140778445174291E-2</v>
      </c>
      <c r="AS26" s="45">
        <v>2.5582525859249354E-2</v>
      </c>
      <c r="AT26" s="47">
        <v>2.8140778445174291E-2</v>
      </c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  <c r="CD26" s="47"/>
      <c r="CE26" s="47"/>
      <c r="CF26" s="47"/>
      <c r="CG26" s="47"/>
      <c r="CH26" s="47"/>
      <c r="CI26" s="47"/>
      <c r="CJ26" s="47"/>
    </row>
    <row r="27" spans="2:88" ht="15.75" x14ac:dyDescent="0.25">
      <c r="B27" s="8" t="s">
        <v>89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45">
        <v>7.8932823337213697E-3</v>
      </c>
      <c r="AA27" s="45">
        <v>1.4999999999999999E-2</v>
      </c>
      <c r="AB27" s="45">
        <v>1.4999999999999999E-2</v>
      </c>
      <c r="AC27" s="45">
        <v>1.2500000000000001E-2</v>
      </c>
      <c r="AD27" s="45">
        <v>0.02</v>
      </c>
      <c r="AE27" s="45">
        <v>1.4999999999999999E-2</v>
      </c>
      <c r="AF27" s="45">
        <v>2.5000000000000001E-2</v>
      </c>
      <c r="AG27" s="45">
        <v>2.5000000000000001E-2</v>
      </c>
      <c r="AH27" s="45">
        <v>1.2500000000000001E-2</v>
      </c>
      <c r="AI27" s="45">
        <v>1.4999999999999999E-2</v>
      </c>
      <c r="AJ27" s="45">
        <v>1.4999999999999999E-2</v>
      </c>
      <c r="AK27" s="45">
        <v>1.6665091291966784E-2</v>
      </c>
      <c r="AL27" s="46">
        <v>1.8331600421163465E-2</v>
      </c>
      <c r="AM27" s="45">
        <v>1.6665091291966784E-2</v>
      </c>
      <c r="AN27" s="46">
        <v>1.8331600421163465E-2</v>
      </c>
      <c r="AO27" s="45">
        <v>1.6665091291966784E-2</v>
      </c>
      <c r="AP27" s="46">
        <v>1.8331600421163465E-2</v>
      </c>
      <c r="AQ27" s="45">
        <v>1.6665091291966784E-2</v>
      </c>
      <c r="AR27" s="46">
        <v>1.8331600421163465E-2</v>
      </c>
      <c r="AS27" s="45">
        <v>1.6665091291966784E-2</v>
      </c>
      <c r="AT27" s="46">
        <v>1.8331600421163465E-2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</row>
    <row r="28" spans="2:88" ht="15.75" x14ac:dyDescent="0.25">
      <c r="B28" s="9" t="s">
        <v>90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45">
        <v>6.1215988601993404E-3</v>
      </c>
      <c r="AA28" s="45">
        <v>1.2500000000000001E-2</v>
      </c>
      <c r="AB28" s="45">
        <v>1.15E-2</v>
      </c>
      <c r="AC28" s="45">
        <v>0.01</v>
      </c>
      <c r="AD28" s="45">
        <v>1.7500000000000002E-2</v>
      </c>
      <c r="AE28" s="45">
        <v>0.01</v>
      </c>
      <c r="AF28" s="45">
        <v>0.02</v>
      </c>
      <c r="AG28" s="45">
        <v>1.7500000000000002E-2</v>
      </c>
      <c r="AH28" s="45">
        <v>0.01</v>
      </c>
      <c r="AI28" s="45">
        <v>1.2500000000000001E-2</v>
      </c>
      <c r="AJ28" s="45">
        <v>1.2500000000000001E-2</v>
      </c>
      <c r="AK28" s="45">
        <v>9.0903399389920484E-3</v>
      </c>
      <c r="AL28" s="46">
        <v>9.9993739328912545E-3</v>
      </c>
      <c r="AM28" s="45">
        <v>9.0903399389920484E-3</v>
      </c>
      <c r="AN28" s="46">
        <v>9.9993739328912545E-3</v>
      </c>
      <c r="AO28" s="45">
        <v>9.0903399389920484E-3</v>
      </c>
      <c r="AP28" s="46">
        <v>9.9993739328912545E-3</v>
      </c>
      <c r="AQ28" s="45">
        <v>9.0903399389920484E-3</v>
      </c>
      <c r="AR28" s="46">
        <v>9.9993739328912545E-3</v>
      </c>
      <c r="AS28" s="45">
        <v>9.0903399389920484E-3</v>
      </c>
      <c r="AT28" s="46">
        <v>9.9993739328912545E-3</v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</row>
    <row r="29" spans="2:88" ht="15.75" x14ac:dyDescent="0.25">
      <c r="B29" s="8" t="s">
        <v>91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45">
        <v>4.4734008983925398E-3</v>
      </c>
      <c r="AA29" s="45">
        <v>1.2500000000000001E-2</v>
      </c>
      <c r="AB29" s="45">
        <v>1.15E-2</v>
      </c>
      <c r="AC29" s="45">
        <v>0.01</v>
      </c>
      <c r="AD29" s="45">
        <v>1.7500000000000002E-2</v>
      </c>
      <c r="AE29" s="45">
        <v>0.01</v>
      </c>
      <c r="AF29" s="45">
        <v>0.02</v>
      </c>
      <c r="AG29" s="45">
        <v>1.7500000000000002E-2</v>
      </c>
      <c r="AH29" s="45">
        <v>1.4E-2</v>
      </c>
      <c r="AI29" s="45">
        <v>1.7500000000000002E-2</v>
      </c>
      <c r="AJ29" s="45">
        <v>1.7500000000000002E-2</v>
      </c>
      <c r="AK29" s="45">
        <v>1.1086078152387291E-2</v>
      </c>
      <c r="AL29" s="46">
        <v>1.2194685967626021E-2</v>
      </c>
      <c r="AM29" s="45">
        <v>1.1086078152387291E-2</v>
      </c>
      <c r="AN29" s="46">
        <v>1.2194685967626021E-2</v>
      </c>
      <c r="AO29" s="45">
        <v>1.1086078152387291E-2</v>
      </c>
      <c r="AP29" s="46">
        <v>1.2194685967626021E-2</v>
      </c>
      <c r="AQ29" s="45">
        <v>1.1086078152387291E-2</v>
      </c>
      <c r="AR29" s="46">
        <v>1.2194685967626021E-2</v>
      </c>
      <c r="AS29" s="45">
        <v>1.1086078152387291E-2</v>
      </c>
      <c r="AT29" s="46">
        <v>1.2194685967626021E-2</v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</row>
    <row r="30" spans="2:88" ht="15.75" x14ac:dyDescent="0.25">
      <c r="B30" s="9" t="s">
        <v>92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45">
        <v>1.6251920681534999E-3</v>
      </c>
      <c r="AA30" s="45">
        <v>1.2500000000000001E-2</v>
      </c>
      <c r="AB30" s="45">
        <v>1.15E-2</v>
      </c>
      <c r="AC30" s="45">
        <v>0.01</v>
      </c>
      <c r="AD30" s="45">
        <v>1.7500000000000002E-2</v>
      </c>
      <c r="AE30" s="45">
        <v>0.01</v>
      </c>
      <c r="AF30" s="45">
        <v>0.02</v>
      </c>
      <c r="AG30" s="45">
        <v>1.7500000000000002E-2</v>
      </c>
      <c r="AH30" s="45">
        <v>0.01</v>
      </c>
      <c r="AI30" s="45">
        <v>1.2500000000000001E-2</v>
      </c>
      <c r="AJ30" s="45">
        <v>1.2500000000000001E-2</v>
      </c>
      <c r="AK30" s="45">
        <v>1.0395375027810762E-2</v>
      </c>
      <c r="AL30" s="46">
        <v>1.6500000000000001E-2</v>
      </c>
      <c r="AM30" s="45">
        <v>1.0395375027810762E-2</v>
      </c>
      <c r="AN30" s="46">
        <v>1.6500000000000001E-2</v>
      </c>
      <c r="AO30" s="45">
        <v>1.0395375027810762E-2</v>
      </c>
      <c r="AP30" s="46">
        <v>1.6500000000000001E-2</v>
      </c>
      <c r="AQ30" s="45">
        <v>1.0395375027810762E-2</v>
      </c>
      <c r="AR30" s="46">
        <v>1.6500000000000001E-2</v>
      </c>
      <c r="AS30" s="45">
        <v>1.0395375027810762E-2</v>
      </c>
      <c r="AT30" s="46">
        <v>1.6500000000000001E-2</v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</row>
    <row r="31" spans="2:88" ht="15.75" x14ac:dyDescent="0.25">
      <c r="B31" s="40" t="s">
        <v>93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45">
        <f>(Z26*Z15+Z16*Z27+Z17*Z28+Z18*Z29+Z19*Z30)/Z20</f>
        <v>8.4021557633280827E-3</v>
      </c>
      <c r="AA31" s="45">
        <f>(AA26*AA15+AA16*AA27+AA17*AA28+AA18*AA29+AA19*AA30)/AA20</f>
        <v>1.6138197472671523E-2</v>
      </c>
      <c r="AB31" s="45">
        <f>(AB26*AB15+AB16*AB27+AB17*AB28+AB18*AB29+AB19*AB30)/AB20</f>
        <v>1.6003029290955643E-2</v>
      </c>
      <c r="AC31" s="45">
        <f>(AC26*AC15+AC16*AC27+AC17*AC28+AC18*AC29+AC19*AC30)/AC20</f>
        <v>1.2863832186164334E-2</v>
      </c>
      <c r="AD31" s="45">
        <f>(AD26*AD15+AD16*AD27+AD17*AD28+AD18*AD29+AD19*AD30)/AD20</f>
        <v>2.0481672431898263E-2</v>
      </c>
      <c r="AE31" s="45">
        <f>(AE26*AE15+AE16*AE27+AE17*AE28+AE18*AE29+AE19*AE30)/AE20</f>
        <v>1.4608539270545291E-2</v>
      </c>
      <c r="AF31" s="45">
        <f>(AF26*AF15+AF16*AF27+AF17*AF28+AF18*AF29+AF19*AF30)/AF20</f>
        <v>2.4827607947915907E-2</v>
      </c>
      <c r="AG31" s="45">
        <f>(AG26*AG15+AG16*AG27+AG17*AG28+AG18*AG29+AG19*AG30)/AG20</f>
        <v>2.3097193538643899E-2</v>
      </c>
      <c r="AH31" s="45">
        <f>(AH26*AH15+AH16*AH27+AH17*AH28+AH18*AH29+AH19*AH30)/AH20</f>
        <v>1.6545387543884005E-2</v>
      </c>
      <c r="AI31" s="45">
        <f>(AI26*AI15+AI16*AI27+AI17*AI28+AI18*AI29+AI19*AI30)/AI20</f>
        <v>1.9415059663107064E-2</v>
      </c>
      <c r="AJ31" s="45">
        <f>(AJ26*AJ15+AJ16*AJ27+AJ17*AJ28+AJ18*AJ29+AJ19*AJ30)/AJ20</f>
        <v>1.9683954303517777E-2</v>
      </c>
      <c r="AK31" s="45">
        <f>(AK26*AK15+AK16*AK27+AK17*AK28+AK18*AK29+AK19*AK30)/AK20</f>
        <v>1.5539813757197724E-2</v>
      </c>
      <c r="AL31" s="45">
        <f>(AL26*AL15+AL16*AL27+AL17*AL28+AL18*AL29+AL19*AL30)/AL20</f>
        <v>1.7886643950743384E-2</v>
      </c>
      <c r="AM31" s="45">
        <f>(AM26*AM15+AM16*AM27+AM17*AM28+AM18*AM29+AM19*AM30)/AM20</f>
        <v>1.6095656743944881E-2</v>
      </c>
      <c r="AN31" s="45">
        <f>(AN26*AN15+AN16*AN27+AN17*AN28+AN18*AN29+AN19*AN30)/AN20</f>
        <v>1.7945530591252316E-2</v>
      </c>
      <c r="AO31" s="45">
        <f>(AO26*AO15+AO16*AO27+AO17*AO28+AO18*AO29+AO19*AO30)/AO20</f>
        <v>1.5666173080232521E-2</v>
      </c>
      <c r="AP31" s="45">
        <f>(AP26*AP15+AP16*AP27+AP17*AP28+AP18*AP29+AP19*AP30)/AP20</f>
        <v>1.8489783836860996E-2</v>
      </c>
      <c r="AQ31" s="45">
        <f>(AQ26*AQ15+AQ16*AQ27+AQ17*AQ28+AQ18*AQ29+AQ19*AQ30)/AQ20</f>
        <v>1.5633408925296598E-2</v>
      </c>
      <c r="AR31" s="45">
        <f>(AR26*AR15+AR16*AR27+AR17*AR28+AR18*AR29+AR19*AR30)/AR20</f>
        <v>1.8229091052853162E-2</v>
      </c>
      <c r="AS31" s="45">
        <f>(AS26*AS15+AS16*AS27+AS17*AS28+AS18*AS29+AS19*AS30)/AS20</f>
        <v>1.5709867022628953E-2</v>
      </c>
      <c r="AT31" s="45">
        <f>(AT26*AT15+AT16*AT27+AT17*AT28+AT18*AT29+AT19*AT30)/AT20</f>
        <v>1.7879123781504903E-2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</row>
    <row r="35" spans="2:88" x14ac:dyDescent="0.25">
      <c r="B35" t="s">
        <v>96</v>
      </c>
    </row>
    <row r="36" spans="2:88" x14ac:dyDescent="0.25">
      <c r="B36" s="43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  <c r="L36" t="s">
        <v>11</v>
      </c>
      <c r="M36" t="s">
        <v>12</v>
      </c>
      <c r="N36" t="s">
        <v>13</v>
      </c>
      <c r="O36" t="s">
        <v>14</v>
      </c>
      <c r="P36" t="s">
        <v>15</v>
      </c>
      <c r="Q36" t="s">
        <v>16</v>
      </c>
      <c r="R36" t="s">
        <v>17</v>
      </c>
      <c r="S36" t="s">
        <v>18</v>
      </c>
      <c r="T36" t="s">
        <v>19</v>
      </c>
      <c r="U36" t="s">
        <v>20</v>
      </c>
      <c r="V36" t="s">
        <v>21</v>
      </c>
      <c r="W36" t="s">
        <v>22</v>
      </c>
      <c r="X36" t="s">
        <v>23</v>
      </c>
      <c r="Y36" t="s">
        <v>24</v>
      </c>
      <c r="Z36" t="s">
        <v>25</v>
      </c>
      <c r="AA36" t="s">
        <v>26</v>
      </c>
      <c r="AB36" t="s">
        <v>27</v>
      </c>
      <c r="AC36" t="s">
        <v>28</v>
      </c>
      <c r="AD36" t="s">
        <v>29</v>
      </c>
      <c r="AE36" t="s">
        <v>30</v>
      </c>
      <c r="AF36" t="s">
        <v>31</v>
      </c>
      <c r="AG36" t="s">
        <v>32</v>
      </c>
      <c r="AH36" t="s">
        <v>33</v>
      </c>
      <c r="AI36" t="s">
        <v>34</v>
      </c>
      <c r="AJ36" t="s">
        <v>35</v>
      </c>
      <c r="AK36" t="s">
        <v>36</v>
      </c>
      <c r="AL36" t="s">
        <v>37</v>
      </c>
      <c r="AM36" t="s">
        <v>38</v>
      </c>
      <c r="AN36" t="s">
        <v>39</v>
      </c>
      <c r="AO36" t="s">
        <v>40</v>
      </c>
      <c r="AP36" t="s">
        <v>41</v>
      </c>
      <c r="AQ36" t="s">
        <v>42</v>
      </c>
      <c r="AR36" t="s">
        <v>43</v>
      </c>
      <c r="AS36" t="s">
        <v>44</v>
      </c>
      <c r="AT36" t="s">
        <v>45</v>
      </c>
      <c r="AU36" s="43" t="s">
        <v>46</v>
      </c>
      <c r="AV36" s="43" t="s">
        <v>47</v>
      </c>
      <c r="AW36" s="43" t="s">
        <v>48</v>
      </c>
      <c r="AX36" s="43" t="s">
        <v>49</v>
      </c>
      <c r="AY36" s="43" t="s">
        <v>50</v>
      </c>
      <c r="AZ36" s="43" t="s">
        <v>51</v>
      </c>
      <c r="BA36" s="43" t="s">
        <v>52</v>
      </c>
      <c r="BB36" s="43" t="s">
        <v>53</v>
      </c>
      <c r="BC36" s="43" t="s">
        <v>54</v>
      </c>
      <c r="BD36" s="43" t="s">
        <v>55</v>
      </c>
      <c r="BE36" s="43" t="s">
        <v>56</v>
      </c>
      <c r="BF36" s="43" t="s">
        <v>57</v>
      </c>
      <c r="BG36" s="43" t="s">
        <v>58</v>
      </c>
      <c r="BH36" s="43" t="s">
        <v>59</v>
      </c>
      <c r="BI36" s="43" t="s">
        <v>60</v>
      </c>
      <c r="BJ36" s="43" t="s">
        <v>61</v>
      </c>
      <c r="BK36" s="43" t="s">
        <v>62</v>
      </c>
      <c r="BL36" s="43" t="s">
        <v>63</v>
      </c>
      <c r="BM36" s="43" t="s">
        <v>64</v>
      </c>
      <c r="BN36" s="43" t="s">
        <v>65</v>
      </c>
      <c r="BO36" s="43" t="s">
        <v>66</v>
      </c>
      <c r="BP36" s="43" t="s">
        <v>67</v>
      </c>
      <c r="BQ36" s="43" t="s">
        <v>68</v>
      </c>
      <c r="BR36" s="43" t="s">
        <v>69</v>
      </c>
      <c r="BS36" s="43" t="s">
        <v>70</v>
      </c>
      <c r="BT36" s="43" t="s">
        <v>71</v>
      </c>
      <c r="BU36" s="43" t="s">
        <v>72</v>
      </c>
      <c r="BV36" s="43" t="s">
        <v>73</v>
      </c>
      <c r="BW36" s="43" t="s">
        <v>74</v>
      </c>
      <c r="BX36" s="43" t="s">
        <v>75</v>
      </c>
      <c r="BY36" s="43" t="s">
        <v>76</v>
      </c>
      <c r="BZ36" s="43" t="s">
        <v>77</v>
      </c>
      <c r="CA36" s="43" t="s">
        <v>78</v>
      </c>
      <c r="CB36" s="43" t="s">
        <v>79</v>
      </c>
      <c r="CC36" s="43" t="s">
        <v>80</v>
      </c>
      <c r="CD36" s="43" t="s">
        <v>81</v>
      </c>
      <c r="CE36" s="43" t="s">
        <v>82</v>
      </c>
      <c r="CF36" s="43" t="s">
        <v>83</v>
      </c>
      <c r="CG36" s="43" t="s">
        <v>84</v>
      </c>
      <c r="CH36" s="43" t="s">
        <v>85</v>
      </c>
      <c r="CI36" s="43" t="s">
        <v>86</v>
      </c>
      <c r="CJ36" s="43" t="s">
        <v>87</v>
      </c>
    </row>
    <row r="37" spans="2:88" ht="15.75" x14ac:dyDescent="0.25">
      <c r="B37" s="9" t="s">
        <v>88</v>
      </c>
      <c r="C37" s="34"/>
      <c r="D37" s="34"/>
      <c r="E37" s="34"/>
      <c r="L37" s="34"/>
      <c r="M37" s="34"/>
      <c r="Z37" s="39">
        <v>5.6660106601065996</v>
      </c>
      <c r="AA37" s="39">
        <v>8</v>
      </c>
      <c r="AB37" s="39">
        <v>8</v>
      </c>
      <c r="AC37" s="39">
        <v>6</v>
      </c>
      <c r="AD37" s="39">
        <v>7</v>
      </c>
      <c r="AE37" s="39">
        <v>6</v>
      </c>
      <c r="AF37" s="39">
        <v>9</v>
      </c>
      <c r="AG37" s="39">
        <v>9</v>
      </c>
      <c r="AH37" s="39">
        <v>7</v>
      </c>
      <c r="AI37" s="39">
        <v>7.5</v>
      </c>
      <c r="AJ37" s="39">
        <v>7.5</v>
      </c>
      <c r="AK37" s="39">
        <v>8.7728462340975071</v>
      </c>
      <c r="AL37" s="42">
        <v>9.6501308575072589</v>
      </c>
      <c r="AM37" s="39">
        <v>8.7728462340975071</v>
      </c>
      <c r="AN37" s="42">
        <v>9.6501308575072589</v>
      </c>
      <c r="AO37" s="39">
        <v>8.7728462340975071</v>
      </c>
      <c r="AP37" s="42">
        <v>9.6501308575072589</v>
      </c>
      <c r="AQ37" s="39">
        <v>8.7728462340975071</v>
      </c>
      <c r="AR37" s="42">
        <v>9.6501308575072589</v>
      </c>
      <c r="AS37" s="39">
        <v>8.7728462340975071</v>
      </c>
      <c r="AT37" s="42">
        <v>9.6501308575072589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</row>
    <row r="38" spans="2:88" ht="15.75" x14ac:dyDescent="0.25">
      <c r="B38" s="8" t="s">
        <v>89</v>
      </c>
      <c r="C38" s="34"/>
      <c r="D38" s="34"/>
      <c r="E38" s="34"/>
      <c r="L38" s="34"/>
      <c r="M38" s="34"/>
      <c r="Z38" s="39">
        <v>5.2707978311386503</v>
      </c>
      <c r="AA38" s="39">
        <v>7</v>
      </c>
      <c r="AB38" s="39">
        <v>7</v>
      </c>
      <c r="AC38" s="39">
        <v>6</v>
      </c>
      <c r="AD38" s="39">
        <v>7</v>
      </c>
      <c r="AE38" s="39">
        <v>6</v>
      </c>
      <c r="AF38" s="39">
        <v>9</v>
      </c>
      <c r="AG38" s="39">
        <v>9</v>
      </c>
      <c r="AH38" s="39">
        <v>5</v>
      </c>
      <c r="AI38" s="39">
        <v>5.5</v>
      </c>
      <c r="AJ38" s="39">
        <v>5.5</v>
      </c>
      <c r="AK38" s="39">
        <v>5.6200935151584339</v>
      </c>
      <c r="AL38" s="41">
        <v>6.1821028666742777</v>
      </c>
      <c r="AM38" s="39">
        <v>5.6200935151584339</v>
      </c>
      <c r="AN38" s="41">
        <v>6.1821028666742777</v>
      </c>
      <c r="AO38" s="39">
        <v>5.6200935151584339</v>
      </c>
      <c r="AP38" s="41">
        <v>6.1821028666742777</v>
      </c>
      <c r="AQ38" s="39">
        <v>5.6200935151584339</v>
      </c>
      <c r="AR38" s="41">
        <v>6.1821028666742777</v>
      </c>
      <c r="AS38" s="39">
        <v>5.6200935151584339</v>
      </c>
      <c r="AT38" s="41">
        <v>6.1821028666742777</v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</row>
    <row r="39" spans="2:88" ht="15.75" x14ac:dyDescent="0.25">
      <c r="B39" s="9" t="s">
        <v>90</v>
      </c>
      <c r="C39" s="34"/>
      <c r="D39" s="34"/>
      <c r="E39" s="34"/>
      <c r="L39" s="34"/>
      <c r="M39" s="34"/>
      <c r="Z39" s="39">
        <v>5.22682445759368</v>
      </c>
      <c r="AA39" s="39">
        <v>6.5</v>
      </c>
      <c r="AB39" s="39">
        <v>6</v>
      </c>
      <c r="AC39" s="39">
        <v>6</v>
      </c>
      <c r="AD39" s="39">
        <v>7</v>
      </c>
      <c r="AE39" s="39">
        <v>6</v>
      </c>
      <c r="AF39" s="39">
        <v>9</v>
      </c>
      <c r="AG39" s="39">
        <v>9</v>
      </c>
      <c r="AH39" s="39">
        <v>5.5</v>
      </c>
      <c r="AI39" s="39">
        <v>6</v>
      </c>
      <c r="AJ39" s="39">
        <v>6</v>
      </c>
      <c r="AK39" s="39">
        <v>7.3681690133770372</v>
      </c>
      <c r="AL39" s="41">
        <v>8.1049859147147405</v>
      </c>
      <c r="AM39" s="39">
        <v>7.3681690133770372</v>
      </c>
      <c r="AN39" s="41">
        <v>8.1049859147147405</v>
      </c>
      <c r="AO39" s="39">
        <v>7.3681690133770372</v>
      </c>
      <c r="AP39" s="41">
        <v>8.1049859147147405</v>
      </c>
      <c r="AQ39" s="39">
        <v>7.3681690133770372</v>
      </c>
      <c r="AR39" s="41">
        <v>8.1049859147147405</v>
      </c>
      <c r="AS39" s="39">
        <v>7.3681690133770372</v>
      </c>
      <c r="AT39" s="41">
        <v>8.1049859147147405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</row>
    <row r="40" spans="2:88" ht="15.75" x14ac:dyDescent="0.25">
      <c r="B40" s="8" t="s">
        <v>91</v>
      </c>
      <c r="C40" s="34"/>
      <c r="D40" s="34"/>
      <c r="E40" s="34"/>
      <c r="L40" s="34"/>
      <c r="M40" s="34"/>
      <c r="Z40" s="39">
        <v>5.6187183033655996</v>
      </c>
      <c r="AA40" s="39">
        <v>6.5</v>
      </c>
      <c r="AB40" s="39">
        <v>6</v>
      </c>
      <c r="AC40" s="39">
        <v>6</v>
      </c>
      <c r="AD40" s="39">
        <v>7</v>
      </c>
      <c r="AE40" s="39">
        <v>6</v>
      </c>
      <c r="AF40" s="39">
        <v>9</v>
      </c>
      <c r="AG40" s="39">
        <v>9</v>
      </c>
      <c r="AH40" s="39">
        <v>6</v>
      </c>
      <c r="AI40" s="39">
        <v>6.75</v>
      </c>
      <c r="AJ40" s="39">
        <v>6.75</v>
      </c>
      <c r="AK40" s="39">
        <v>8.6161638261499363</v>
      </c>
      <c r="AL40" s="41">
        <v>9.4777802087649299</v>
      </c>
      <c r="AM40" s="39">
        <v>8.6161638261499363</v>
      </c>
      <c r="AN40" s="41">
        <v>9.4777802087649299</v>
      </c>
      <c r="AO40" s="39">
        <v>8.6161638261499363</v>
      </c>
      <c r="AP40" s="41">
        <v>9.4777802087649299</v>
      </c>
      <c r="AQ40" s="39">
        <v>8.6161638261499363</v>
      </c>
      <c r="AR40" s="41">
        <v>9.4777802087649299</v>
      </c>
      <c r="AS40" s="39">
        <v>8.6161638261499363</v>
      </c>
      <c r="AT40" s="41">
        <v>9.4777802087649299</v>
      </c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</row>
    <row r="41" spans="2:88" ht="15.75" x14ac:dyDescent="0.25">
      <c r="B41" s="9" t="s">
        <v>92</v>
      </c>
      <c r="C41" s="34"/>
      <c r="D41" s="34"/>
      <c r="E41" s="34"/>
      <c r="L41" s="34"/>
      <c r="M41" s="34"/>
      <c r="Z41" s="39">
        <v>4.9188811188811101</v>
      </c>
      <c r="AA41" s="39">
        <v>6.5</v>
      </c>
      <c r="AB41" s="39">
        <v>6</v>
      </c>
      <c r="AC41" s="39">
        <v>6</v>
      </c>
      <c r="AD41" s="39">
        <v>7</v>
      </c>
      <c r="AE41" s="39">
        <v>6</v>
      </c>
      <c r="AF41" s="39">
        <v>9</v>
      </c>
      <c r="AG41" s="39">
        <v>9</v>
      </c>
      <c r="AH41" s="39">
        <v>5</v>
      </c>
      <c r="AI41" s="39">
        <v>6</v>
      </c>
      <c r="AJ41" s="39">
        <v>6</v>
      </c>
      <c r="AK41" s="39">
        <v>7.740065079538069</v>
      </c>
      <c r="AL41" s="41">
        <v>8.5140715874918769</v>
      </c>
      <c r="AM41" s="39">
        <v>7.740065079538069</v>
      </c>
      <c r="AN41" s="41">
        <v>8.5140715874918769</v>
      </c>
      <c r="AO41" s="39">
        <v>7.740065079538069</v>
      </c>
      <c r="AP41" s="41">
        <v>8.5140715874918769</v>
      </c>
      <c r="AQ41" s="39">
        <v>7.740065079538069</v>
      </c>
      <c r="AR41" s="41">
        <v>8.5140715874918769</v>
      </c>
      <c r="AS41" s="39">
        <v>7.740065079538069</v>
      </c>
      <c r="AT41" s="41">
        <v>8.5140715874918769</v>
      </c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</row>
    <row r="42" spans="2:88" ht="15.75" x14ac:dyDescent="0.25">
      <c r="B42" s="40" t="s">
        <v>93</v>
      </c>
      <c r="C42" s="34"/>
      <c r="D42" s="34"/>
      <c r="E42" s="34"/>
      <c r="L42" s="34"/>
      <c r="M42" s="34"/>
      <c r="Z42" s="39">
        <f>SUM(Z4:Z8)/SUMPRODUCT(Z15:Z19,Z26:Z30)</f>
        <v>5.5048784814617679</v>
      </c>
      <c r="AA42" s="39">
        <f>SUM(AA4:AA8)/SUMPRODUCT(AA15:AA19,AA26:AA30)</f>
        <v>7.243401983876641</v>
      </c>
      <c r="AB42" s="39">
        <f>SUM(AB4:AB8)/SUMPRODUCT(AB15:AB19,AB26:AB30)</f>
        <v>7.1646684286210514</v>
      </c>
      <c r="AC42" s="39">
        <f>SUM(AC4:AC8)/SUMPRODUCT(AC15:AC19,AC26:AC30)</f>
        <v>5.9999999999999991</v>
      </c>
      <c r="AD42" s="39">
        <f>SUM(AD4:AD8)/SUMPRODUCT(AD15:AD19,AD26:AD30)</f>
        <v>6.9999999999999991</v>
      </c>
      <c r="AE42" s="39">
        <f>SUM(AE4:AE8)/SUMPRODUCT(AE15:AE19,AE26:AE30)</f>
        <v>6</v>
      </c>
      <c r="AF42" s="39">
        <f>SUM(AF4:AF8)/SUMPRODUCT(AF15:AF19,AF26:AF30)</f>
        <v>9</v>
      </c>
      <c r="AG42" s="39">
        <f>SUM(AG4:AG8)/SUMPRODUCT(AG15:AG19,AG26:AG30)</f>
        <v>9</v>
      </c>
      <c r="AH42" s="39">
        <f>SUM(AH4:AH8)/SUMPRODUCT(AH15:AH19,AH26:AH30)</f>
        <v>6.2131290199980693</v>
      </c>
      <c r="AI42" s="39">
        <f>SUM(AI4:AI8)/SUMPRODUCT(AI15:AI19,AI26:AI30)</f>
        <v>6.7715599509070232</v>
      </c>
      <c r="AJ42" s="39">
        <f>SUM(AJ4:AJ8)/SUMPRODUCT(AJ15:AJ19,AJ26:AJ30)</f>
        <v>6.8211274500342691</v>
      </c>
      <c r="AK42" s="39">
        <f>SUM(AK4:AK8)/SUMPRODUCT(AK15:AK19,AK26:AK30)</f>
        <v>7.6233975896704322</v>
      </c>
      <c r="AL42" s="39">
        <f>SUM(AL4:AL8)/SUMPRODUCT(AL15:AL19,AL26:AL30)</f>
        <v>8.3675008010355132</v>
      </c>
      <c r="AM42" s="39">
        <f>SUM(AM4:AM8)/SUMPRODUCT(AM15:AM19,AM26:AM30)</f>
        <v>7.6505060076706792</v>
      </c>
      <c r="AN42" s="39">
        <f>SUM(AN4:AN8)/SUMPRODUCT(AN15:AN19,AN26:AN30)</f>
        <v>8.3622993861916726</v>
      </c>
      <c r="AO42" s="39">
        <f>SUM(AO4:AO8)/SUMPRODUCT(AO15:AO19,AO26:AO30)</f>
        <v>7.7285373626158949</v>
      </c>
      <c r="AP42" s="39">
        <f>SUM(AP4:AP8)/SUMPRODUCT(AP15:AP19,AP26:AP30)</f>
        <v>8.4793532092894974</v>
      </c>
      <c r="AQ42" s="39">
        <f>SUM(AQ4:AQ8)/SUMPRODUCT(AQ15:AQ19,AQ26:AQ30)</f>
        <v>7.6690497976450427</v>
      </c>
      <c r="AR42" s="39">
        <f>SUM(AR4:AR8)/SUMPRODUCT(AR15:AR19,AR26:AR30)</f>
        <v>8.4452197773820252</v>
      </c>
      <c r="AS42" s="39">
        <f>SUM(AS4:AS8)/SUMPRODUCT(AS15:AS19,AS26:AS30)</f>
        <v>7.6306527565973568</v>
      </c>
      <c r="AT42" s="39">
        <f>SUM(AT4:AT8)/SUMPRODUCT(AT15:AT19,AT26:AT30)</f>
        <v>8.4208300310513202</v>
      </c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</row>
    <row r="45" spans="2:88" x14ac:dyDescent="0.25">
      <c r="E45" s="37"/>
      <c r="F45" s="37"/>
      <c r="G45" s="37"/>
    </row>
    <row r="46" spans="2:88" ht="15.75" x14ac:dyDescent="0.25">
      <c r="E46" s="36"/>
      <c r="F46" s="36"/>
      <c r="G46" s="36"/>
    </row>
    <row r="47" spans="2:88" x14ac:dyDescent="0.25">
      <c r="E47" s="35"/>
      <c r="F47" s="35"/>
      <c r="G47" s="35"/>
    </row>
    <row r="48" spans="2:88" x14ac:dyDescent="0.25">
      <c r="E48" s="34"/>
      <c r="F48" s="34"/>
      <c r="G48" s="34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Actuals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2025-12-25T17:43:47Z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