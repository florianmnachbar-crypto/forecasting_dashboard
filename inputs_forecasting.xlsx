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nachbar\Documents\"/>
    </mc:Choice>
  </mc:AlternateContent>
  <xr:revisionPtr revIDLastSave="0" documentId="8_{08D1CAA5-9E09-4C2E-98C5-E39C601BD38A}" xr6:coauthVersionLast="47" xr6:coauthVersionMax="47" xr10:uidLastSave="{00000000-0000-0000-0000-000000000000}"/>
  <bookViews>
    <workbookView xWindow="-120" yWindow="-120" windowWidth="29040" windowHeight="17520" xr2:uid="{998CAE49-F45B-4B7A-AD02-07A41134BC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7" i="1" l="1"/>
  <c r="H37" i="1"/>
  <c r="AE36" i="1"/>
  <c r="AE35" i="1"/>
  <c r="AE34" i="1"/>
  <c r="AE33" i="1"/>
  <c r="AE32" i="1"/>
  <c r="AI27" i="1"/>
  <c r="AH27" i="1"/>
  <c r="AG27" i="1"/>
  <c r="AF27" i="1"/>
  <c r="V27" i="1"/>
  <c r="U27" i="1"/>
  <c r="T27" i="1"/>
  <c r="S27" i="1"/>
  <c r="R27" i="1"/>
  <c r="H27" i="1"/>
  <c r="G27" i="1"/>
  <c r="F27" i="1"/>
  <c r="E27" i="1"/>
  <c r="D27" i="1"/>
  <c r="AI18" i="1"/>
  <c r="AH18" i="1"/>
  <c r="AG18" i="1"/>
  <c r="AF18" i="1"/>
  <c r="AE18" i="1"/>
  <c r="AE27" i="1" s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X27" i="1" s="1"/>
  <c r="W18" i="1"/>
  <c r="W27" i="1" s="1"/>
  <c r="V18" i="1"/>
  <c r="U18" i="1"/>
  <c r="U37" i="1" s="1"/>
  <c r="T18" i="1"/>
  <c r="T37" i="1" s="1"/>
  <c r="S18" i="1"/>
  <c r="S37" i="1" s="1"/>
  <c r="R18" i="1"/>
  <c r="R37" i="1" s="1"/>
  <c r="Q18" i="1"/>
  <c r="Q27" i="1" s="1"/>
  <c r="P18" i="1"/>
  <c r="P27" i="1" s="1"/>
  <c r="O18" i="1"/>
  <c r="O37" i="1" s="1"/>
  <c r="N18" i="1"/>
  <c r="N37" i="1" s="1"/>
  <c r="M18" i="1"/>
  <c r="M27" i="1" s="1"/>
  <c r="L18" i="1"/>
  <c r="L27" i="1" s="1"/>
  <c r="K18" i="1"/>
  <c r="K27" i="1" s="1"/>
  <c r="J18" i="1"/>
  <c r="J37" i="1" s="1"/>
  <c r="I18" i="1"/>
  <c r="I37" i="1" s="1"/>
  <c r="H18" i="1"/>
  <c r="G18" i="1"/>
  <c r="G37" i="1" s="1"/>
  <c r="F18" i="1"/>
  <c r="F37" i="1" s="1"/>
  <c r="E18" i="1"/>
  <c r="E37" i="1" s="1"/>
  <c r="D18" i="1"/>
  <c r="D37" i="1" s="1"/>
  <c r="C18" i="1"/>
  <c r="C27" i="1" s="1"/>
  <c r="AI8" i="1"/>
  <c r="AI37" i="1" s="1"/>
  <c r="AH8" i="1"/>
  <c r="AH37" i="1" s="1"/>
  <c r="AG8" i="1"/>
  <c r="AG37" i="1" s="1"/>
  <c r="AF8" i="1"/>
  <c r="AF37" i="1" s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E37" i="1" l="1"/>
  <c r="W37" i="1"/>
  <c r="Y37" i="1"/>
  <c r="M37" i="1"/>
  <c r="P37" i="1"/>
  <c r="AD37" i="1"/>
  <c r="X37" i="1"/>
  <c r="K37" i="1"/>
  <c r="Z37" i="1"/>
  <c r="I27" i="1"/>
  <c r="AA37" i="1"/>
  <c r="J27" i="1"/>
  <c r="AB37" i="1"/>
  <c r="AC37" i="1"/>
  <c r="C37" i="1"/>
  <c r="N27" i="1"/>
  <c r="O27" i="1"/>
  <c r="L37" i="1"/>
  <c r="Q37" i="1"/>
</calcChain>
</file>

<file path=xl/sharedStrings.xml><?xml version="1.0" encoding="utf-8"?>
<sst xmlns="http://schemas.openxmlformats.org/spreadsheetml/2006/main" count="376" uniqueCount="97">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</sst>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%;\-#,##0.00%"/>
    <numFmt numFmtId="165" formatCode="#,##0.##;\-#,##0.##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</fonts>
  <fills count="7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</cellXfs>
  <cellStyles count="2">
    <cellStyle name="Normal" xfId="0" builtinId="0"/>
    <cellStyle name="Percent" xfId="1" builtinId="5"/>
  </cellStyles>
  <dxfs count="3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4510D3-524C-4535-A471-802D843A1A07}" name="tblActualUnits" displayName="tblActualUnits" ref="B2:CJ8" totalsRowShown="0">
  <autoFilter ref="B2:CJ8" xr:uid="{474510D3-524C-4535-A471-802D843A1A07}"/>
  <tableColumns count="87">
    <tableColumn id="1" xr3:uid="{8A60B2E7-ABBF-4641-9955-09DA84FC0A06}" name="MP"/>
    <tableColumn id="2" xr3:uid="{13FD81F4-9E05-4BE7-B113-0C4A55482BEA}" name="Wk19 2025" dataDxfId="317"/>
    <tableColumn id="3" xr3:uid="{1AEAA06F-03B4-4F67-8163-EAE83B84D35D}" name="Wk20 2025" dataDxfId="316"/>
    <tableColumn id="4" xr3:uid="{512F4607-A273-46EA-98FD-E6E53E5DF753}" name="Wk21 2025" dataDxfId="315"/>
    <tableColumn id="5" xr3:uid="{F285CE1E-1FA0-4C45-B791-E2E8471ECEB2}" name="Wk22 2025" dataDxfId="314"/>
    <tableColumn id="6" xr3:uid="{D85ABC35-0435-4EA9-9A25-21145CF62BA4}" name="Wk23 2025" dataDxfId="313"/>
    <tableColumn id="7" xr3:uid="{31E8A41B-B5FC-4636-B2D2-E024E430B540}" name="Wk24 2025" dataDxfId="312"/>
    <tableColumn id="8" xr3:uid="{00F302F2-72D6-4E10-8C01-5129A9033E4C}" name="Wk25 2025" dataDxfId="311"/>
    <tableColumn id="9" xr3:uid="{D7E99778-C789-45AB-9A54-1AFCD0C660FD}" name="Wk26 2025" dataDxfId="310"/>
    <tableColumn id="10" xr3:uid="{9EF92F29-F549-493C-9262-6969F6A253FD}" name="Wk27 2025" dataDxfId="309"/>
    <tableColumn id="11" xr3:uid="{C85E7BE4-4F98-4361-A454-E045F673CD08}" name="Wk28 2025" dataDxfId="308"/>
    <tableColumn id="12" xr3:uid="{15ED52B9-8ADB-4BF9-A566-84B6D4C490E4}" name="Wk29 2025" dataDxfId="307"/>
    <tableColumn id="13" xr3:uid="{330D112C-9015-486D-8D10-35E1786FD254}" name="Wk30 2025" dataDxfId="306"/>
    <tableColumn id="14" xr3:uid="{062ADA78-021A-4190-B9B2-12B6D4662A47}" name="Wk31 2025" dataDxfId="305"/>
    <tableColumn id="15" xr3:uid="{8543F3A1-350B-4532-9785-45DDFC72F9FA}" name="Wk32 2025" dataDxfId="304"/>
    <tableColumn id="16" xr3:uid="{4982A0B7-4E99-4E5A-B7A3-B0CA9F603B63}" name="Wk33 2025" dataDxfId="303"/>
    <tableColumn id="17" xr3:uid="{045A32AA-8316-4F8E-9753-135931BA67C5}" name="Wk34 2025" dataDxfId="302"/>
    <tableColumn id="18" xr3:uid="{8054421F-1760-48EC-942D-F6A96FE31891}" name="Wk35 2025" dataDxfId="301"/>
    <tableColumn id="19" xr3:uid="{BF3F568E-22A0-4648-B85D-AAC7E3EF0145}" name="Wk36 2025" dataDxfId="300"/>
    <tableColumn id="20" xr3:uid="{8DC070B0-D8A0-471E-9F69-A25238F196E9}" name="Wk37 2025" dataDxfId="299"/>
    <tableColumn id="21" xr3:uid="{62D5A6E3-5BF6-4E63-B80B-43C0631A6DE7}" name="Wk38 2025" dataDxfId="298"/>
    <tableColumn id="22" xr3:uid="{3D68F5A8-B1C5-43EC-867E-A5D1F256FA5E}" name="Wk39 2025" dataDxfId="297"/>
    <tableColumn id="23" xr3:uid="{6A5C5AA6-C3EC-40EF-8291-F8049B1B8DC8}" name="Wk40 2025" dataDxfId="296"/>
    <tableColumn id="24" xr3:uid="{3C23E0F9-8D51-4921-891C-91D8406F6651}" name="Wk41 2025" dataDxfId="295"/>
    <tableColumn id="25" xr3:uid="{247CB429-DDAD-4677-8665-88B01ACAC023}" name="Wk42 2025" dataDxfId="294"/>
    <tableColumn id="26" xr3:uid="{F50410F0-3826-4A4E-A0C8-AA27CCFFA9D1}" name="Wk43 2025" dataDxfId="293"/>
    <tableColumn id="27" xr3:uid="{BE534070-AF76-490F-904B-A8C70DCE0D28}" name="Wk44 2025" dataDxfId="292"/>
    <tableColumn id="28" xr3:uid="{21912BE7-9584-465B-98D0-9A2B2DD77D2C}" name="Wk45 2025" dataDxfId="291"/>
    <tableColumn id="29" xr3:uid="{120C95B9-E511-4639-9CB6-113E56AA696E}" name="Wk46 2025" dataDxfId="290"/>
    <tableColumn id="30" xr3:uid="{6CD63257-9D2F-4EF5-87FE-F3B20B57D74F}" name="Wk47 2025" dataDxfId="289"/>
    <tableColumn id="31" xr3:uid="{1DBEDFB9-5095-477D-8D0E-09151B71F66D}" name="Wk48 2025" dataDxfId="288"/>
    <tableColumn id="32" xr3:uid="{91D1815A-3773-4FF3-89DE-B4258A5BFB5F}" name="Wk49 2025" dataDxfId="287"/>
    <tableColumn id="33" xr3:uid="{15CBE303-07BA-4752-A521-E2E4A9065CD7}" name="Wk50 2025" dataDxfId="286"/>
    <tableColumn id="34" xr3:uid="{9B9D648B-C484-48EF-B26D-71801904B26C}" name="Wk51 2025" dataDxfId="285"/>
    <tableColumn id="35" xr3:uid="{4D1A5032-D184-40E5-9F1C-EDCB20D37C14}" name="Wk52 2025" dataDxfId="284"/>
    <tableColumn id="36" xr3:uid="{39369CDF-3E8C-4713-8379-436D93E94096}" name="Wk 1 2026" dataDxfId="283"/>
    <tableColumn id="37" xr3:uid="{99BC60EE-4C69-4919-9429-1FFB73B77CEC}" name="Wk 2 2026" dataDxfId="282"/>
    <tableColumn id="38" xr3:uid="{38873EAD-C962-4CB7-9E7A-9A9D7C5F765F}" name="Wk 3 2026" dataDxfId="281"/>
    <tableColumn id="39" xr3:uid="{3D441407-9AA3-417E-9053-10E282CD544C}" name="Wk 4 2026" dataDxfId="280"/>
    <tableColumn id="40" xr3:uid="{0AC4A2ED-1B2A-46E2-A4CA-FE992578B097}" name="Wk 5 2026" dataDxfId="279"/>
    <tableColumn id="41" xr3:uid="{CA32406E-AF27-4701-8E98-915FA995785F}" name="Wk 6 2026" dataDxfId="278"/>
    <tableColumn id="42" xr3:uid="{332C9F85-C82F-49EB-8637-45B6B35C48D1}" name="Wk 7 2026" dataDxfId="277"/>
    <tableColumn id="43" xr3:uid="{213D3273-48AA-462B-B93F-8D5D2CCC8302}" name="Wk 8 2026" dataDxfId="276"/>
    <tableColumn id="44" xr3:uid="{3744F9A8-BC1C-43D7-8836-870125445DF7}" name="Wk 9 2026" dataDxfId="275"/>
    <tableColumn id="45" xr3:uid="{2FFF9FF6-2A3E-44C4-8206-8939F6E78C83}" name="Wk 10 2026" dataDxfId="274"/>
    <tableColumn id="46" xr3:uid="{0F820EF9-3F16-4474-8408-AE6885369B78}" name="Wk 11 2026" dataDxfId="273"/>
    <tableColumn id="47" xr3:uid="{AF581808-7A9C-40B9-AFDD-1DA62E93B9DB}" name="Wk 12 2026" dataDxfId="272"/>
    <tableColumn id="48" xr3:uid="{D39FE1D5-C625-4940-8FFA-89B8871569FC}" name="Wk 13 2026" dataDxfId="271"/>
    <tableColumn id="49" xr3:uid="{0FF1C889-AC30-4178-A21D-C4583DF67E8D}" name="Wk 14 2026" dataDxfId="270"/>
    <tableColumn id="50" xr3:uid="{2C355573-FA56-4677-9FDD-E77F4B45A87B}" name="Wk 15 2026" dataDxfId="269"/>
    <tableColumn id="51" xr3:uid="{77BB5FD6-D0A1-45D5-9A65-30D55F4DE54B}" name="Wk 16 2026" dataDxfId="268"/>
    <tableColumn id="52" xr3:uid="{1B3951B2-C32F-463B-A647-96F9C4CF5562}" name="Wk 17 2026" dataDxfId="267"/>
    <tableColumn id="53" xr3:uid="{5BE76B65-7E64-4D9D-9E69-C38477404C4E}" name="Wk 18 2026" dataDxfId="266"/>
    <tableColumn id="54" xr3:uid="{085429E7-BCEC-4DD4-99A2-3F12A20AD9A2}" name="Wk 19 2026" dataDxfId="265"/>
    <tableColumn id="55" xr3:uid="{1F704376-277E-46E8-A7B1-51C5E7014BC9}" name="Wk 20 2026" dataDxfId="264"/>
    <tableColumn id="56" xr3:uid="{3D07B564-E4B3-473B-9EDC-B2354D0367D7}" name="Wk 21 2026" dataDxfId="263"/>
    <tableColumn id="57" xr3:uid="{6F902361-5171-429A-9ADC-E51613527CC0}" name="Wk 22 2026" dataDxfId="262"/>
    <tableColumn id="58" xr3:uid="{F15A3C2B-1E39-4838-8C84-89A02705600C}" name="Wk 23 2026" dataDxfId="261"/>
    <tableColumn id="59" xr3:uid="{796B7618-0FB2-4F1A-A9F9-9BD396DC1666}" name="Wk 24 2026" dataDxfId="260"/>
    <tableColumn id="60" xr3:uid="{168CCEF6-2F5F-424E-B7B3-D6FBA38A27ED}" name="Wk 25 2026" dataDxfId="259"/>
    <tableColumn id="61" xr3:uid="{9AB9BC13-2C00-4514-8629-23D9D1CCBEBA}" name="Wk 26 2026" dataDxfId="258"/>
    <tableColumn id="62" xr3:uid="{EB0BCF33-C994-4014-B7C8-0FFEAAAFAD0D}" name="Wk 27 2026" dataDxfId="257"/>
    <tableColumn id="63" xr3:uid="{6042F14B-19E7-4326-A922-DF2CF2808630}" name="Wk 28 2026" dataDxfId="256"/>
    <tableColumn id="64" xr3:uid="{CFAFE7FE-2B0F-46E5-A57D-96BC7350BCD2}" name="Wk 29 2026" dataDxfId="255"/>
    <tableColumn id="65" xr3:uid="{7110FF7A-F9F1-4C80-9370-E0B2395BB5F4}" name="Wk 30 2026" dataDxfId="254"/>
    <tableColumn id="66" xr3:uid="{9F64292D-E031-458D-887D-634E87E60EBE}" name="Wk 31 2026" dataDxfId="253"/>
    <tableColumn id="67" xr3:uid="{BD51B877-32A3-485C-A75B-B9B7C38A0CC3}" name="Wk 32 2026" dataDxfId="252"/>
    <tableColumn id="68" xr3:uid="{AFE97B97-BFE5-42C8-A71F-8CAB8662EC05}" name="Wk 33 2026" dataDxfId="251"/>
    <tableColumn id="69" xr3:uid="{E66D79C7-AAF0-44AE-9C32-B3CA12508524}" name="Wk 34 2026" dataDxfId="250"/>
    <tableColumn id="70" xr3:uid="{12AB30C4-1B7B-405C-92E6-301372E9C5C1}" name="Wk 35 2026" dataDxfId="249"/>
    <tableColumn id="71" xr3:uid="{794C630B-BF54-4E29-9074-3E1EEDB80B16}" name="Wk 36 2026" dataDxfId="248"/>
    <tableColumn id="72" xr3:uid="{20043D72-03E6-40C7-A1B8-0C8C2764FAA4}" name="Wk 37 2026" dataDxfId="247"/>
    <tableColumn id="73" xr3:uid="{C05051C0-DC03-4CAA-B31C-105EE4736B34}" name="Wk 38 2026" dataDxfId="246"/>
    <tableColumn id="74" xr3:uid="{A60CC0EC-2C84-4830-98D0-2BF9274FB02D}" name="Wk 39 2026" dataDxfId="245"/>
    <tableColumn id="75" xr3:uid="{3670D0DC-9CEB-4E08-BC6B-B36559ED86DD}" name="Wk 40 2026" dataDxfId="244"/>
    <tableColumn id="76" xr3:uid="{1C8869A9-BDB7-4C7A-A4EA-B78A877AC9C5}" name="Wk 41 2026" dataDxfId="243"/>
    <tableColumn id="77" xr3:uid="{EB373CDE-40AA-46AD-B2D3-F1204A0D3E73}" name="Wk 42 2026" dataDxfId="242"/>
    <tableColumn id="78" xr3:uid="{75C8AE7C-6871-475F-AEE0-5E515905A257}" name="Wk 43 2026" dataDxfId="241"/>
    <tableColumn id="79" xr3:uid="{4874C6D8-199C-41D0-BBFD-A348B935E4AD}" name="Wk 44 2026" dataDxfId="240"/>
    <tableColumn id="80" xr3:uid="{C003F127-10EE-4777-A03B-23EDF79989C0}" name="Wk 45 2026" dataDxfId="239"/>
    <tableColumn id="81" xr3:uid="{BACD9D11-A9DE-467E-9BF3-8CA8207B8993}" name="Wk 46 2026" dataDxfId="238"/>
    <tableColumn id="82" xr3:uid="{BFF349F6-BA1C-482C-8A88-4E5F662BF0FD}" name="Wk 47 2026" dataDxfId="237"/>
    <tableColumn id="83" xr3:uid="{095D7966-D93A-460E-92F4-1BB9A892A198}" name="Wk 48 2026" dataDxfId="236"/>
    <tableColumn id="84" xr3:uid="{98717447-9B93-4D62-8E60-49AF4B204795}" name="Wk 49 2026" dataDxfId="235"/>
    <tableColumn id="85" xr3:uid="{F3BC61BC-00FB-4FAD-B795-0579D6E3B9E9}" name="Wk 50 2026" dataDxfId="234"/>
    <tableColumn id="86" xr3:uid="{14DA971D-7FB8-4423-B6D7-F547DC785CA5}" name="Wk 51 2026" dataDxfId="233"/>
    <tableColumn id="87" xr3:uid="{4C7541F1-6DF0-4936-BCFE-94877B51417C}" name="Wk 52 2026" dataDxfId="2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B9719C-E9A5-476C-A8B2-16DBE2BE55E6}" name="tblActualsUPO" displayName="tblActualsUPO" ref="B31:CJ37" totalsRowShown="0">
  <autoFilter ref="B31:CJ37" xr:uid="{DCB9719C-E9A5-476C-A8B2-16DBE2BE55E6}"/>
  <tableColumns count="87">
    <tableColumn id="1" xr3:uid="{FF5E1F4C-B7F8-47C5-BB8B-86B31578F303}" name="MP" dataDxfId="231"/>
    <tableColumn id="2" xr3:uid="{4F472AEB-857D-4C0B-9856-F73FF5174282}" name="Wk19 2025" dataDxfId="230"/>
    <tableColumn id="3" xr3:uid="{6C36287B-5588-4F2D-BD12-BF5023D934F2}" name="Wk20 2025" dataDxfId="229"/>
    <tableColumn id="4" xr3:uid="{01EE9C39-8977-4EEE-81E1-8826EE50047C}" name="Wk21 2025" dataDxfId="228"/>
    <tableColumn id="5" xr3:uid="{4B23CD96-D4E0-4EB6-AF0B-5E03B0AF2D19}" name="Wk22 2025" dataDxfId="227"/>
    <tableColumn id="6" xr3:uid="{C5CF90B9-2677-4016-8AAF-D01EE9DC1FA1}" name="Wk23 2025" dataDxfId="226"/>
    <tableColumn id="7" xr3:uid="{64367572-7EAE-4264-A73B-B37563FEFDC0}" name="Wk24 2025"/>
    <tableColumn id="8" xr3:uid="{24219946-26D7-4713-800C-8A55F706C073}" name="Wk25 2025"/>
    <tableColumn id="9" xr3:uid="{1622252A-4FF9-432D-914F-489274CEC7C0}" name="Wk26 2025"/>
    <tableColumn id="10" xr3:uid="{7392121E-0EA5-4799-8433-BB703C8D869A}" name="Wk27 2025"/>
    <tableColumn id="11" xr3:uid="{E6E01EBD-2A1E-4309-86F5-C9EF9A124291}" name="Wk28 2025"/>
    <tableColumn id="12" xr3:uid="{10B25E92-18DE-439E-A86D-91AC74002693}" name="Wk29 2025"/>
    <tableColumn id="13" xr3:uid="{E01CFF7E-D9BA-48A8-A534-4720E6BCB1A3}" name="Wk30 2025"/>
    <tableColumn id="14" xr3:uid="{6097FC57-A8FB-473B-B598-9A31D1BF36A9}" name="Wk31 2025"/>
    <tableColumn id="15" xr3:uid="{9E28B6D4-C543-429D-87B2-1293D4E3B80D}" name="Wk32 2025"/>
    <tableColumn id="16" xr3:uid="{4153D664-89FA-40B6-9B71-A3D12EABA83F}" name="Wk33 2025"/>
    <tableColumn id="17" xr3:uid="{34CE0D89-F649-42FF-8B11-278B25AD626B}" name="Wk34 2025"/>
    <tableColumn id="18" xr3:uid="{6982D4EC-860C-44A8-8E26-073F5473DCFA}" name="Wk35 2025"/>
    <tableColumn id="19" xr3:uid="{D7C7A4F2-3A93-4516-ABED-6AE5E9CCE555}" name="Wk36 2025"/>
    <tableColumn id="20" xr3:uid="{E612321C-F9E7-42A8-AA7D-503CF5CE3003}" name="Wk37 2025"/>
    <tableColumn id="21" xr3:uid="{4D84044A-01AA-4DAF-9C30-6369D7769118}" name="Wk38 2025"/>
    <tableColumn id="22" xr3:uid="{C575DE89-C32F-4C99-BEC1-65B6EDD3FB9E}" name="Wk39 2025" dataDxfId="225"/>
    <tableColumn id="23" xr3:uid="{1B07D814-ED19-480B-BCF5-911ADD551C2E}" name="Wk40 2025" dataDxfId="224"/>
    <tableColumn id="24" xr3:uid="{73BBCA00-89AF-4E98-8B54-56D3D273BC7D}" name="Wk41 2025" dataDxfId="223"/>
    <tableColumn id="25" xr3:uid="{EFBAF190-93B0-4DBA-B029-746AF2A4F0CE}" name="Wk42 2025" dataDxfId="222"/>
    <tableColumn id="26" xr3:uid="{CF028B4D-CA2E-4D85-A7DE-4F3C087025DF}" name="Wk43 2025" dataDxfId="221"/>
    <tableColumn id="27" xr3:uid="{6B89BD83-6622-49D1-B0FE-E022771397A1}" name="Wk44 2025" dataDxfId="220"/>
    <tableColumn id="28" xr3:uid="{A0D36DCA-3536-4368-A837-2F481787E4EC}" name="Wk45 2025" dataDxfId="219"/>
    <tableColumn id="29" xr3:uid="{AE09007D-55DC-4C9B-AE1D-54FFEB62EEA8}" name="Wk46 2025" dataDxfId="218"/>
    <tableColumn id="30" xr3:uid="{202B3FBC-4012-4B29-AF7F-0BCCD3531978}" name="Wk47 2025" dataDxfId="217">
      <calculatedColumnFormula>AE3/(AE13*AE22)</calculatedColumnFormula>
    </tableColumn>
    <tableColumn id="31" xr3:uid="{56F75F79-F9C0-497D-9020-C9FB0026AEB5}" name="Wk48 2025" dataDxfId="216"/>
    <tableColumn id="32" xr3:uid="{76830D05-4C1D-4BDC-965E-AC93F1E7F0BB}" name="Wk49 2025" dataDxfId="215"/>
    <tableColumn id="33" xr3:uid="{8F3BFDF1-7BD4-42E8-95B0-30C9B3EC8EB4}" name="Wk50 2025" dataDxfId="214">
      <calculatedColumnFormula>AH3/(AH13*AH22)</calculatedColumnFormula>
    </tableColumn>
    <tableColumn id="34" xr3:uid="{774785ED-8276-49C5-AD41-6A28486BF53E}" name="Wk51 2025" dataDxfId="213"/>
    <tableColumn id="35" xr3:uid="{BD3E70B8-EF41-4D46-9CC3-6F40B3099B99}" name="Wk52 2025" dataDxfId="212"/>
    <tableColumn id="36" xr3:uid="{167CF893-BA54-4B40-BC61-486C043E894F}" name="Wk 1 2026" dataDxfId="211"/>
    <tableColumn id="37" xr3:uid="{FF999AEB-49A8-450C-A6FF-9FA78911CAB4}" name="Wk 2 2026" dataDxfId="210"/>
    <tableColumn id="38" xr3:uid="{6FCD178F-467D-4D56-99E7-D09F0CB8DEBA}" name="Wk 3 2026" dataDxfId="209"/>
    <tableColumn id="39" xr3:uid="{6DEAC9EA-1E3B-4E94-936A-66C0D0C5D383}" name="Wk 4 2026" dataDxfId="208"/>
    <tableColumn id="40" xr3:uid="{428990F6-E2C6-4D56-8CE4-93D99AF0DFBE}" name="Wk 5 2026" dataDxfId="207"/>
    <tableColumn id="41" xr3:uid="{08EB2A31-D296-462F-A62D-BC5780568B10}" name="Wk 6 2026" dataDxfId="206"/>
    <tableColumn id="42" xr3:uid="{82F95084-04E9-4564-852F-392779661E26}" name="Wk 7 2026" dataDxfId="205"/>
    <tableColumn id="43" xr3:uid="{FA8A8216-7F1B-4286-8B28-4A1A76A0591C}" name="Wk 8 2026" dataDxfId="204"/>
    <tableColumn id="44" xr3:uid="{0AC662FD-A750-4B07-9FA1-C0A56834D63C}" name="Wk 9 2026" dataDxfId="203"/>
    <tableColumn id="45" xr3:uid="{D356147E-91B3-4FE6-8902-80DE5E506356}" name="Wk 10 2026" dataDxfId="202"/>
    <tableColumn id="46" xr3:uid="{20F85B83-DD6D-4BD3-B9C5-6719520A2EE0}" name="Wk 11 2026" dataDxfId="201"/>
    <tableColumn id="47" xr3:uid="{A2E896C3-648A-46D8-A60D-2F61164AE4D4}" name="Wk 12 2026" dataDxfId="200"/>
    <tableColumn id="48" xr3:uid="{D2EE3864-47AF-47B8-A5B9-60043814D83B}" name="Wk 13 2026" dataDxfId="199"/>
    <tableColumn id="49" xr3:uid="{3167537E-6E32-4EB2-886C-DF7B752427AD}" name="Wk 14 2026" dataDxfId="198"/>
    <tableColumn id="50" xr3:uid="{FC861F37-0681-4883-BB56-051E14737063}" name="Wk 15 2026" dataDxfId="197"/>
    <tableColumn id="51" xr3:uid="{71CE2DF8-303C-45BD-AA22-D1D58C5280AB}" name="Wk 16 2026" dataDxfId="196"/>
    <tableColumn id="52" xr3:uid="{43D7A940-505E-4C88-A628-6E0EA042D0E3}" name="Wk 17 2026" dataDxfId="195"/>
    <tableColumn id="53" xr3:uid="{8D7359CD-16CB-4005-AE4E-2F17127175BF}" name="Wk 18 2026" dataDxfId="194"/>
    <tableColumn id="54" xr3:uid="{C2DF5A20-F9A8-4F4D-9E99-4D01760D21C4}" name="Wk 19 2026" dataDxfId="193"/>
    <tableColumn id="55" xr3:uid="{96CA90C3-2763-4B8E-B42D-89C55FE5B616}" name="Wk 20 2026" dataDxfId="192"/>
    <tableColumn id="56" xr3:uid="{F8362AE6-018F-4A08-B091-8B83805F4BB2}" name="Wk 21 2026" dataDxfId="191"/>
    <tableColumn id="57" xr3:uid="{45992418-70A6-4DCD-A32C-1D63AA49A4D8}" name="Wk 22 2026" dataDxfId="190"/>
    <tableColumn id="58" xr3:uid="{1B7D0E7A-E049-479A-9080-9FDFB57FC0CA}" name="Wk 23 2026" dataDxfId="189"/>
    <tableColumn id="59" xr3:uid="{E95BFF68-C21B-49FD-B2DA-15EE93B58EAA}" name="Wk 24 2026" dataDxfId="188"/>
    <tableColumn id="60" xr3:uid="{ECF0F9BF-7920-419B-B2CF-F09E730FF878}" name="Wk 25 2026" dataDxfId="187"/>
    <tableColumn id="61" xr3:uid="{5DA71C02-37E7-4396-A1B7-FF70D24CDE19}" name="Wk 26 2026" dataDxfId="186"/>
    <tableColumn id="62" xr3:uid="{F9A5F33B-D2C0-455B-A34B-8EFDFD6C8C53}" name="Wk 27 2026" dataDxfId="185"/>
    <tableColumn id="63" xr3:uid="{D4CD628A-4312-4FB1-995A-60E50CBDC427}" name="Wk 28 2026" dataDxfId="184"/>
    <tableColumn id="64" xr3:uid="{CB6C362B-F773-41B2-A29C-FE9E91160619}" name="Wk 29 2026" dataDxfId="183"/>
    <tableColumn id="65" xr3:uid="{056BC328-B98D-4D28-958C-77D46F881CB2}" name="Wk 30 2026" dataDxfId="182"/>
    <tableColumn id="66" xr3:uid="{017E8A3B-C1CB-4DBE-B7CF-6205BE4DCDB2}" name="Wk 31 2026" dataDxfId="181"/>
    <tableColumn id="67" xr3:uid="{1CE38079-6A49-4EDC-9CC9-30C350F40A7A}" name="Wk 32 2026" dataDxfId="180"/>
    <tableColumn id="68" xr3:uid="{D267527A-B4F7-4FD7-A909-D77BFB9C4BFE}" name="Wk 33 2026" dataDxfId="179"/>
    <tableColumn id="69" xr3:uid="{FBC52664-8D0E-40AC-8DE4-AEA565D8FAAD}" name="Wk 34 2026" dataDxfId="178"/>
    <tableColumn id="70" xr3:uid="{BEEBB6E6-7DF6-4419-8EDA-37A3969DB9C0}" name="Wk 35 2026" dataDxfId="177"/>
    <tableColumn id="71" xr3:uid="{7F513271-0C3A-441B-A2BF-AEFC48D33362}" name="Wk 36 2026" dataDxfId="176"/>
    <tableColumn id="72" xr3:uid="{4A3C3440-7ED7-4C43-92CA-BA6E7289B8BF}" name="Wk 37 2026" dataDxfId="175"/>
    <tableColumn id="73" xr3:uid="{1F1D81D8-3E1D-48E7-A4D7-F1354773D8FD}" name="Wk 38 2026" dataDxfId="174"/>
    <tableColumn id="74" xr3:uid="{E238D3F0-F210-44E2-A00F-BC7CB7A3023B}" name="Wk 39 2026" dataDxfId="173"/>
    <tableColumn id="75" xr3:uid="{F723C8D0-D8C1-42E1-BD33-E046191D32FC}" name="Wk 40 2026" dataDxfId="172"/>
    <tableColumn id="76" xr3:uid="{6B5AD89D-E0AB-4AAE-A980-119A8B92E3B6}" name="Wk 41 2026" dataDxfId="171"/>
    <tableColumn id="77" xr3:uid="{B3DFB992-C284-480B-A932-68F1E3BAA1F1}" name="Wk 42 2026" dataDxfId="170"/>
    <tableColumn id="78" xr3:uid="{AF8D3D15-C719-41F6-A7B3-49DC7942AEBA}" name="Wk 43 2026" dataDxfId="169"/>
    <tableColumn id="79" xr3:uid="{53F8DB87-1D36-4550-8E4A-254AFAFA3339}" name="Wk 44 2026" dataDxfId="168"/>
    <tableColumn id="80" xr3:uid="{43B071E7-D7BF-4B02-8D7B-C324F1E62544}" name="Wk 45 2026" dataDxfId="167"/>
    <tableColumn id="81" xr3:uid="{6D73DCF7-69D1-44D6-BE42-2644FC05A976}" name="Wk 46 2026" dataDxfId="166"/>
    <tableColumn id="82" xr3:uid="{407A00F3-B635-4B5C-B192-07496436E40B}" name="Wk 47 2026" dataDxfId="165"/>
    <tableColumn id="83" xr3:uid="{A84AA1C8-5D88-4E2D-95CE-9E3A10456C9C}" name="Wk 48 2026" dataDxfId="164"/>
    <tableColumn id="84" xr3:uid="{23F810B7-D1C3-4A18-9C25-1C19D01CF258}" name="Wk 49 2026" dataDxfId="163"/>
    <tableColumn id="85" xr3:uid="{5C2AB52B-D93A-4447-81C5-CBA70222893C}" name="Wk 50 2026" dataDxfId="162"/>
    <tableColumn id="86" xr3:uid="{22AFCD3C-D466-4832-828D-19411BAA244C}" name="Wk 51 2026" dataDxfId="161"/>
    <tableColumn id="87" xr3:uid="{0261B616-7060-407D-8580-0BF44181D661}" name="Wk 52 2026" dataDxfId="1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F6AA2-3B85-49C0-93EF-6D62990D7D3D}" name="tblActualsTransits" displayName="tblActualsTransits" ref="B12:CJ18" totalsRowShown="0">
  <autoFilter ref="B12:CJ18" xr:uid="{AF2F6AA2-3B85-49C0-93EF-6D62990D7D3D}"/>
  <tableColumns count="87">
    <tableColumn id="1" xr3:uid="{E3DA8C1F-9109-4FE4-8F24-679F193AB1C7}" name="MP" dataDxfId="159"/>
    <tableColumn id="2" xr3:uid="{E026F489-918C-4CC7-A266-2BF2D84F6B52}" name="Wk19 2025" dataDxfId="158"/>
    <tableColumn id="3" xr3:uid="{18E7FAA1-EF17-4B30-9AA5-A04B3BF2276D}" name="Wk20 2025" dataDxfId="157"/>
    <tableColumn id="4" xr3:uid="{877B0054-B084-422D-AFAA-630A6454561F}" name="Wk21 2025" dataDxfId="156"/>
    <tableColumn id="5" xr3:uid="{CA37F9BC-A31E-4EE3-ABC7-670299FF0E9C}" name="Wk22 2025" dataDxfId="155"/>
    <tableColumn id="6" xr3:uid="{546BD560-251E-4C36-A8FD-D89903CB07B7}" name="Wk23 2025" dataDxfId="154"/>
    <tableColumn id="7" xr3:uid="{73F9F261-C5C5-4E3F-9792-DF464514CACF}" name="Wk24 2025"/>
    <tableColumn id="8" xr3:uid="{D81B9DC7-A9EC-42C5-AF83-E3C59E37DA58}" name="Wk25 2025"/>
    <tableColumn id="9" xr3:uid="{02EB5DE8-213C-493A-B9E2-BE9CC91D979D}" name="Wk26 2025"/>
    <tableColumn id="10" xr3:uid="{7E3AC319-58AD-4C4F-ACA5-7E46DE404C40}" name="Wk27 2025"/>
    <tableColumn id="11" xr3:uid="{2569E595-EDAA-4792-B02F-E8B7FEAD8221}" name="Wk28 2025"/>
    <tableColumn id="12" xr3:uid="{66D1373E-47C2-430A-910A-A3D0D4D76818}" name="Wk29 2025"/>
    <tableColumn id="13" xr3:uid="{DD239BDA-F90F-480A-8E4D-73223CCCC52F}" name="Wk30 2025"/>
    <tableColumn id="14" xr3:uid="{82ED1835-6776-44CC-AB28-CB1C6A582013}" name="Wk31 2025"/>
    <tableColumn id="15" xr3:uid="{9040986A-A4A9-4207-87C9-92ACB934E435}" name="Wk32 2025"/>
    <tableColumn id="16" xr3:uid="{0ABEF4DC-8A3B-4894-A09E-CD552AF80266}" name="Wk33 2025"/>
    <tableColumn id="17" xr3:uid="{51100371-7473-474C-BC13-499FAC9E41B9}" name="Wk34 2025"/>
    <tableColumn id="18" xr3:uid="{F298A6FD-30DE-448E-9A1C-ACE1E450A7FD}" name="Wk35 2025"/>
    <tableColumn id="19" xr3:uid="{25C97E99-71E7-4268-9F68-63008E9FE76B}" name="Wk36 2025"/>
    <tableColumn id="20" xr3:uid="{BF9640D8-903A-4F95-8D38-4513A65B7054}" name="Wk37 2025"/>
    <tableColumn id="21" xr3:uid="{D443E079-1A8D-4B36-BCA5-69455AD64B53}" name="Wk38 2025"/>
    <tableColumn id="22" xr3:uid="{F77B4DED-7860-46DF-8C68-2A7CC8852EBC}" name="Wk39 2025"/>
    <tableColumn id="23" xr3:uid="{B26205EF-14E9-4DD1-9C3A-C94A1ED3A259}" name="Wk40 2025" dataDxfId="153"/>
    <tableColumn id="24" xr3:uid="{4E8B04B3-5B41-4D68-9275-B413B0485146}" name="Wk41 2025" dataDxfId="152"/>
    <tableColumn id="25" xr3:uid="{62CF15B3-EAFE-4A97-844E-A4065946591D}" name="Wk42 2025" dataDxfId="151"/>
    <tableColumn id="26" xr3:uid="{D4B6DD7F-CC54-48FE-AC7E-89776AB8C5FE}" name="Wk43 2025" dataDxfId="150"/>
    <tableColumn id="27" xr3:uid="{10941D27-8F64-4156-BDFD-C56CE3FC2163}" name="Wk44 2025" dataDxfId="149"/>
    <tableColumn id="28" xr3:uid="{F64445E6-4172-4FAA-9E8F-FC3137C4832F}" name="Wk45 2025" dataDxfId="148"/>
    <tableColumn id="29" xr3:uid="{8151F958-E7EA-4B9D-863B-C57080849EC2}" name="Wk46 2025" dataDxfId="147"/>
    <tableColumn id="30" xr3:uid="{6C4DCFBC-E342-48F3-B774-80A0DCFAAEE1}" name="Wk47 2025" dataDxfId="146"/>
    <tableColumn id="31" xr3:uid="{49227077-12C2-4DAB-8607-6A807925F88B}" name="Wk48 2025" dataDxfId="145"/>
    <tableColumn id="32" xr3:uid="{B4B9AAEB-CC82-4FD1-B714-8BCB374A521A}" name="Wk49 2025" dataDxfId="144"/>
    <tableColumn id="33" xr3:uid="{5A90B961-E796-4C65-BA99-43EDB17D4EDA}" name="Wk50 2025" dataDxfId="143"/>
    <tableColumn id="34" xr3:uid="{D4AFF83E-AD4D-4FDA-AF87-34821AEAD64D}" name="Wk51 2025" dataDxfId="142"/>
    <tableColumn id="35" xr3:uid="{14FD9D8B-7FB6-494F-A6B3-D6B972357258}" name="Wk52 2025" dataDxfId="141"/>
    <tableColumn id="36" xr3:uid="{442148C4-4271-4EED-ABAD-A34D33D9926F}" name="Wk 1 2026" dataDxfId="140"/>
    <tableColumn id="37" xr3:uid="{11B60504-DD63-4937-94FB-2D4A06DEF060}" name="Wk 2 2026" dataDxfId="139"/>
    <tableColumn id="38" xr3:uid="{BD06E569-07F1-4FC6-BF94-B704212DCE2B}" name="Wk 3 2026" dataDxfId="138"/>
    <tableColumn id="39" xr3:uid="{CA87DDE3-6416-454C-9D7E-CC5790CB690F}" name="Wk 4 2026" dataDxfId="137"/>
    <tableColumn id="40" xr3:uid="{6EEF7AA1-9CFA-4D53-A58B-F48937239DEE}" name="Wk 5 2026" dataDxfId="136"/>
    <tableColumn id="41" xr3:uid="{46401BB9-07EB-44E4-B399-4F2C970136E1}" name="Wk 6 2026" dataDxfId="135"/>
    <tableColumn id="42" xr3:uid="{95245AC5-7323-4BAD-AD8F-8530AABAB90F}" name="Wk 7 2026" dataDxfId="134"/>
    <tableColumn id="43" xr3:uid="{5EE0D4E5-69C9-438F-98EF-E3C4D74E829D}" name="Wk 8 2026" dataDxfId="133"/>
    <tableColumn id="44" xr3:uid="{AA0A71B5-4607-4776-9EF0-970C84C0E11D}" name="Wk 9 2026" dataDxfId="132"/>
    <tableColumn id="45" xr3:uid="{E6E6DBB9-44EE-4B71-A5A2-EA40CCF528A7}" name="Wk 10 2026" dataDxfId="131"/>
    <tableColumn id="46" xr3:uid="{ACE31F9D-6F4E-4E84-B7CC-F5EB5C471259}" name="Wk 11 2026" dataDxfId="130"/>
    <tableColumn id="47" xr3:uid="{65201ADE-1F38-499B-99F3-4CD9E250EB01}" name="Wk 12 2026" dataDxfId="129"/>
    <tableColumn id="48" xr3:uid="{572C4DC1-4AD6-4F4D-83FA-6A030761102C}" name="Wk 13 2026" dataDxfId="128"/>
    <tableColumn id="49" xr3:uid="{4557144E-A735-4EDF-86B1-D93604944B45}" name="Wk 14 2026" dataDxfId="127"/>
    <tableColumn id="50" xr3:uid="{5EFA0D92-D65E-49B8-9DE4-A3ABD131057D}" name="Wk 15 2026" dataDxfId="126"/>
    <tableColumn id="51" xr3:uid="{30D2A5ED-B5F4-4F35-81B0-024D0F17C7F7}" name="Wk 16 2026" dataDxfId="125"/>
    <tableColumn id="52" xr3:uid="{A9C850FC-31FE-433E-8223-7E0714A09E3F}" name="Wk 17 2026" dataDxfId="124"/>
    <tableColumn id="53" xr3:uid="{E7DCE4A6-FAF8-43A8-84A4-9836532DCE16}" name="Wk 18 2026" dataDxfId="123"/>
    <tableColumn id="54" xr3:uid="{16C4AC0B-3AA0-470A-A748-73654B61A92C}" name="Wk 19 2026" dataDxfId="122"/>
    <tableColumn id="55" xr3:uid="{3E03351C-A883-462F-B3DC-42CD76734667}" name="Wk 20 2026" dataDxfId="121"/>
    <tableColumn id="56" xr3:uid="{111A8410-AE9C-4792-B0A8-894D8F0F26C0}" name="Wk 21 2026" dataDxfId="120"/>
    <tableColumn id="57" xr3:uid="{0362EDB7-6B20-4890-863C-B0FD1C04F93B}" name="Wk 22 2026" dataDxfId="119"/>
    <tableColumn id="58" xr3:uid="{8C3E4134-A7C2-42F5-B34C-3A889A9F1412}" name="Wk 23 2026" dataDxfId="118"/>
    <tableColumn id="59" xr3:uid="{51D857B9-8DF2-40EB-B685-4B3083C00D81}" name="Wk 24 2026" dataDxfId="117"/>
    <tableColumn id="60" xr3:uid="{8AB833B8-A264-4BC9-A613-5A8424E84554}" name="Wk 25 2026" dataDxfId="116"/>
    <tableColumn id="61" xr3:uid="{E3A4361D-040A-4BF4-9067-0848206C05DA}" name="Wk 26 2026" dataDxfId="115"/>
    <tableColumn id="62" xr3:uid="{5761BEE7-9629-4E91-B703-AE2D19CF8013}" name="Wk 27 2026" dataDxfId="114"/>
    <tableColumn id="63" xr3:uid="{70065DA2-F065-4E86-81F7-ACF9FFF2A01A}" name="Wk 28 2026" dataDxfId="113"/>
    <tableColumn id="64" xr3:uid="{BEDF1643-1916-4719-BCE4-2D3321BAF7C7}" name="Wk 29 2026" dataDxfId="112"/>
    <tableColumn id="65" xr3:uid="{5336462A-C484-4DC0-AB1C-F03C5DB3DE0F}" name="Wk 30 2026" dataDxfId="111"/>
    <tableColumn id="66" xr3:uid="{4BDEC5F9-20DA-4CCF-8B5A-742FEA192E85}" name="Wk 31 2026" dataDxfId="110"/>
    <tableColumn id="67" xr3:uid="{291B5CB3-F692-43FA-819A-F319D37CCDDE}" name="Wk 32 2026" dataDxfId="109"/>
    <tableColumn id="68" xr3:uid="{2163603E-7D1E-47DB-88DA-2C8CC973F723}" name="Wk 33 2026" dataDxfId="108"/>
    <tableColumn id="69" xr3:uid="{3B499C30-E189-45A4-B3B6-4EF44EE5FD7F}" name="Wk 34 2026" dataDxfId="107"/>
    <tableColumn id="70" xr3:uid="{B95C85AD-B5AA-48AB-BB10-5E0558FD3022}" name="Wk 35 2026" dataDxfId="106"/>
    <tableColumn id="71" xr3:uid="{D118CFC2-27B6-4806-824D-3093FB03C4C6}" name="Wk 36 2026" dataDxfId="105"/>
    <tableColumn id="72" xr3:uid="{25EFA270-FF47-49BC-A1B7-0D21B54579DF}" name="Wk 37 2026" dataDxfId="104"/>
    <tableColumn id="73" xr3:uid="{19F55CE1-2B13-4271-8428-C233DFFE07D8}" name="Wk 38 2026" dataDxfId="103"/>
    <tableColumn id="74" xr3:uid="{4B36CD4A-6E63-4181-B3D5-A5CE66E1DA9F}" name="Wk 39 2026" dataDxfId="102"/>
    <tableColumn id="75" xr3:uid="{D8A64CDC-14A7-4AF9-B3E7-C65BBCDF3171}" name="Wk 40 2026" dataDxfId="101"/>
    <tableColumn id="76" xr3:uid="{BDB569E9-40D8-4335-B699-4F10D11CD341}" name="Wk 41 2026" dataDxfId="100"/>
    <tableColumn id="77" xr3:uid="{2E41A7AB-5341-4688-B5CD-AFEF651DF3AA}" name="Wk 42 2026" dataDxfId="99"/>
    <tableColumn id="78" xr3:uid="{16B3987D-76E5-40F6-9B80-56F08BC13B1C}" name="Wk 43 2026" dataDxfId="98"/>
    <tableColumn id="79" xr3:uid="{047842C3-68C0-4214-82ED-70957E66DB4E}" name="Wk 44 2026" dataDxfId="97"/>
    <tableColumn id="80" xr3:uid="{5075A64F-88BC-4E73-885D-04A7B8F23CA9}" name="Wk 45 2026" dataDxfId="96"/>
    <tableColumn id="81" xr3:uid="{FC6545C1-7C0A-403C-B077-B0F964CE81CA}" name="Wk 46 2026" dataDxfId="95"/>
    <tableColumn id="82" xr3:uid="{7D2EECE4-68D2-4455-AE18-8DC628DF1FED}" name="Wk 47 2026" dataDxfId="94"/>
    <tableColumn id="83" xr3:uid="{71CD6BB7-F3CE-466A-8E17-4A13F7D3650D}" name="Wk 48 2026" dataDxfId="93"/>
    <tableColumn id="84" xr3:uid="{D6CDBF70-A69F-4163-80DF-EE7D03FAFB88}" name="Wk 49 2026" dataDxfId="92"/>
    <tableColumn id="85" xr3:uid="{87EA7AB9-9593-4DCD-9A17-C309207ED5FF}" name="Wk 50 2026" dataDxfId="91"/>
    <tableColumn id="86" xr3:uid="{12CE7E2F-5DBB-4CE7-BCAD-AF074BAD5DBB}" name="Wk 51 2026" dataDxfId="90"/>
    <tableColumn id="87" xr3:uid="{39A1509C-0384-4DEA-A35F-9738B236382F}" name="Wk 52 2026" dataDxfId="8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4A8E4D-A3EA-4F8D-87A1-91E37E9EDB1D}" name="tblActualsConversion" displayName="tblActualsConversion" ref="B21:CJ27" totalsRowShown="0" headerRowDxfId="88" dataDxfId="87">
  <autoFilter ref="B21:CJ27" xr:uid="{D94A8E4D-A3EA-4F8D-87A1-91E37E9EDB1D}"/>
  <tableColumns count="87">
    <tableColumn id="1" xr3:uid="{5BCA36AD-5ED6-4BD2-82C6-9514EB6C8E39}" name="MP" dataDxfId="86"/>
    <tableColumn id="2" xr3:uid="{E0B512F1-81AA-4777-83A7-91B19281DC01}" name="Wk19 2025" dataDxfId="85"/>
    <tableColumn id="3" xr3:uid="{ADF0495B-64C9-464F-B4F1-1B999F877A70}" name="Wk20 2025" dataDxfId="84"/>
    <tableColumn id="4" xr3:uid="{AAA28000-BBB9-43B0-96A2-F14F4115A44F}" name="Wk21 2025" dataDxfId="83"/>
    <tableColumn id="5" xr3:uid="{867C7A38-1F05-48EC-9E45-D81120B87575}" name="Wk22 2025" dataDxfId="82"/>
    <tableColumn id="6" xr3:uid="{FE9E06F2-6DEF-4E69-B058-76BAAFA9E597}" name="Wk23 2025" dataDxfId="81"/>
    <tableColumn id="7" xr3:uid="{0ECB0B5E-176D-4229-A87A-C2A41E188E14}" name="Wk24 2025" dataDxfId="80"/>
    <tableColumn id="8" xr3:uid="{C3FE39BE-3AA1-47B1-BB14-DB9B5D06E3D4}" name="Wk25 2025" dataDxfId="79"/>
    <tableColumn id="9" xr3:uid="{E15F5E82-567D-4EA7-B0FF-0F0F5AA4EF07}" name="Wk26 2025" dataDxfId="78"/>
    <tableColumn id="10" xr3:uid="{2F64D629-5535-490F-8B73-7C5E5946C95C}" name="Wk27 2025" dataDxfId="77"/>
    <tableColumn id="11" xr3:uid="{A7D2AA51-7E39-45EC-A1AF-3AD0ED7B4FEB}" name="Wk28 2025" dataDxfId="76"/>
    <tableColumn id="12" xr3:uid="{5877E484-4A49-4F53-8DAD-69FC96E3C88B}" name="Wk29 2025" dataDxfId="75"/>
    <tableColumn id="13" xr3:uid="{35F7EC93-39F3-424E-A574-8491DA11C419}" name="Wk30 2025" dataDxfId="74"/>
    <tableColumn id="14" xr3:uid="{D12E41AC-2CF4-45BF-BA33-6541F8092902}" name="Wk31 2025" dataDxfId="73"/>
    <tableColumn id="15" xr3:uid="{AC2E1D16-8999-4552-AFCA-093F0E20266C}" name="Wk32 2025" dataDxfId="72"/>
    <tableColumn id="16" xr3:uid="{B0ECF92A-CEE6-42ED-994E-7CEC6ED0C3FF}" name="Wk33 2025" dataDxfId="71"/>
    <tableColumn id="17" xr3:uid="{252E88F5-331D-4D1D-A862-965D7EE83B14}" name="Wk34 2025" dataDxfId="70"/>
    <tableColumn id="18" xr3:uid="{3F1619A4-1F4A-4AA3-B78F-CC17B4219BF7}" name="Wk35 2025" dataDxfId="69"/>
    <tableColumn id="19" xr3:uid="{D37CF251-9CBA-47CF-90F3-9832F6491757}" name="Wk36 2025" dataDxfId="68"/>
    <tableColumn id="20" xr3:uid="{2B42A392-F058-4B55-840D-45F390CA40BD}" name="Wk37 2025" dataDxfId="67"/>
    <tableColumn id="21" xr3:uid="{F8B2B06E-1C89-4881-B690-FDA929360DE4}" name="Wk38 2025" dataDxfId="66"/>
    <tableColumn id="22" xr3:uid="{984EE42D-9ECD-4A41-ABB7-77EFB728499E}" name="Wk39 2025" dataDxfId="65"/>
    <tableColumn id="23" xr3:uid="{D783F65F-027D-40A3-930F-1ABE09D70996}" name="Wk40 2025" dataDxfId="64" dataCellStyle="Percent"/>
    <tableColumn id="24" xr3:uid="{B1150C25-BBE4-4842-9B98-8CEB5DBE6AB1}" name="Wk41 2025" dataDxfId="63" dataCellStyle="Percent"/>
    <tableColumn id="25" xr3:uid="{264979D8-1A3C-4E70-BF08-BCA8F44DD4E9}" name="Wk42 2025" dataDxfId="62" dataCellStyle="Percent"/>
    <tableColumn id="26" xr3:uid="{7E03177B-2FD1-48AD-8020-48B71FDE6168}" name="Wk43 2025" dataDxfId="61" dataCellStyle="Percent"/>
    <tableColumn id="27" xr3:uid="{47463794-0CBF-48E7-8A49-18A15ED419B1}" name="Wk44 2025" dataDxfId="60" dataCellStyle="Percent"/>
    <tableColumn id="28" xr3:uid="{6D71255E-0304-4768-B806-1C188309AC23}" name="Wk45 2025" dataDxfId="59" dataCellStyle="Percent"/>
    <tableColumn id="29" xr3:uid="{7B2ABC70-6901-4C50-9545-797DA7521C0A}" name="Wk46 2025" dataDxfId="58" dataCellStyle="Percent"/>
    <tableColumn id="30" xr3:uid="{82BAECB3-50F7-49AE-BA46-AE7F37B085F7}" name="Wk47 2025" dataDxfId="57" dataCellStyle="Percent"/>
    <tableColumn id="31" xr3:uid="{2764F785-0591-433A-959E-348BC8C85FB1}" name="Wk48 2025" dataDxfId="56" dataCellStyle="Percent"/>
    <tableColumn id="32" xr3:uid="{5C934707-29EC-42D2-8D2C-B4160115F94D}" name="Wk49 2025" dataDxfId="55" dataCellStyle="Percent"/>
    <tableColumn id="33" xr3:uid="{2DC6649A-600D-4B9A-B55D-8C8AD53DE891}" name="Wk50 2025" dataDxfId="54" dataCellStyle="Percent"/>
    <tableColumn id="34" xr3:uid="{59F6FC88-B0E8-4E7F-BC1F-8926D8DB3525}" name="Wk51 2025" dataDxfId="53" dataCellStyle="Percent"/>
    <tableColumn id="35" xr3:uid="{20AC0F5D-7547-431A-A70C-0C9ED683E230}" name="Wk52 2025" dataDxfId="52" dataCellStyle="Percent"/>
    <tableColumn id="36" xr3:uid="{36F0C266-29AD-4FF9-B5F6-98E9E45CB123}" name="Wk 1 2026" dataDxfId="51" dataCellStyle="Percent"/>
    <tableColumn id="37" xr3:uid="{338F823B-1750-4E1B-8067-969D7F77D0FF}" name="Wk 2 2026" dataDxfId="50" dataCellStyle="Percent"/>
    <tableColumn id="38" xr3:uid="{21594A9B-C8AF-47BE-8004-34E3369173DE}" name="Wk 3 2026" dataDxfId="49" dataCellStyle="Percent"/>
    <tableColumn id="39" xr3:uid="{D5F2887D-0DD4-4D96-9934-12684CBE26AF}" name="Wk 4 2026" dataDxfId="48" dataCellStyle="Percent"/>
    <tableColumn id="40" xr3:uid="{FD966E31-4260-43EC-AD95-18BC9C146A4D}" name="Wk 5 2026" dataDxfId="47" dataCellStyle="Percent"/>
    <tableColumn id="41" xr3:uid="{3E17D987-866E-4E6B-898A-E56A11ACA7BE}" name="Wk 6 2026" dataDxfId="46" dataCellStyle="Percent"/>
    <tableColumn id="42" xr3:uid="{F695E36B-28E0-4EEC-B21A-45718DE82759}" name="Wk 7 2026" dataDxfId="45" dataCellStyle="Percent"/>
    <tableColumn id="43" xr3:uid="{3C5FA813-A8E5-42D2-8E1C-65F19FEB108D}" name="Wk 8 2026" dataDxfId="44" dataCellStyle="Percent"/>
    <tableColumn id="44" xr3:uid="{40450379-2F63-42C8-BDE4-CC381D409F01}" name="Wk 9 2026" dataDxfId="43" dataCellStyle="Percent"/>
    <tableColumn id="45" xr3:uid="{959A18B3-226B-47B6-AC9D-324E60AB7335}" name="Wk 10 2026" dataDxfId="42" dataCellStyle="Percent"/>
    <tableColumn id="46" xr3:uid="{718656E3-6EAB-4FEE-9805-4D7E7CA08D95}" name="Wk 11 2026" dataDxfId="41" dataCellStyle="Percent"/>
    <tableColumn id="47" xr3:uid="{F4EED23F-2153-4495-93A6-0AE6352E93D2}" name="Wk 12 2026" dataDxfId="40" dataCellStyle="Percent"/>
    <tableColumn id="48" xr3:uid="{50D6A3A5-3656-4E8A-85EC-014541A36615}" name="Wk 13 2026" dataDxfId="39" dataCellStyle="Percent"/>
    <tableColumn id="49" xr3:uid="{7B8CAEA9-E4F7-4AFC-B363-D9DA4DD34E59}" name="Wk 14 2026" dataDxfId="38" dataCellStyle="Percent"/>
    <tableColumn id="50" xr3:uid="{3E150CC9-84DD-4984-BA62-40D2355AA88E}" name="Wk 15 2026" dataDxfId="37" dataCellStyle="Percent"/>
    <tableColumn id="51" xr3:uid="{9DAA22D5-D353-43D8-AEFB-493F9DC3B04E}" name="Wk 16 2026" dataDxfId="36" dataCellStyle="Percent"/>
    <tableColumn id="52" xr3:uid="{3FD7A65B-632E-47FC-9A40-837CDA2763F2}" name="Wk 17 2026" dataDxfId="35" dataCellStyle="Percent"/>
    <tableColumn id="53" xr3:uid="{18D37E87-2462-428E-A1C5-3AF89CBE351B}" name="Wk 18 2026" dataDxfId="34" dataCellStyle="Percent"/>
    <tableColumn id="54" xr3:uid="{759D783E-2251-4AC0-BEAD-70CE7CA973E8}" name="Wk 19 2026" dataDxfId="33" dataCellStyle="Percent"/>
    <tableColumn id="55" xr3:uid="{189BFD1D-5F97-4032-9626-96C1DD1ABF89}" name="Wk 20 2026" dataDxfId="32" dataCellStyle="Percent"/>
    <tableColumn id="56" xr3:uid="{C4EF5625-E6E2-403E-A0A0-D31419673640}" name="Wk 21 2026" dataDxfId="31" dataCellStyle="Percent"/>
    <tableColumn id="57" xr3:uid="{8555CA77-8EFB-4CA3-B5EF-7217EBF33553}" name="Wk 22 2026" dataDxfId="30" dataCellStyle="Percent"/>
    <tableColumn id="58" xr3:uid="{C01E6A09-AB75-4A53-82BE-C0D77347E41B}" name="Wk 23 2026" dataDxfId="29" dataCellStyle="Percent"/>
    <tableColumn id="59" xr3:uid="{80901ADD-FB23-458E-A355-FA8531334766}" name="Wk 24 2026" dataDxfId="28" dataCellStyle="Percent"/>
    <tableColumn id="60" xr3:uid="{BEB995A6-53E6-4C56-9FCE-24C39723C622}" name="Wk 25 2026" dataDxfId="27" dataCellStyle="Percent"/>
    <tableColumn id="61" xr3:uid="{905B51AE-0664-4B76-A24B-7F74A047D11F}" name="Wk 26 2026" dataDxfId="26" dataCellStyle="Percent"/>
    <tableColumn id="62" xr3:uid="{6C89C269-10B4-4202-89E8-1DE1D3BF3C08}" name="Wk 27 2026" dataDxfId="25" dataCellStyle="Percent"/>
    <tableColumn id="63" xr3:uid="{72C7ACA0-0D3B-4C6D-BE88-EE8728D56C1B}" name="Wk 28 2026" dataDxfId="24" dataCellStyle="Percent"/>
    <tableColumn id="64" xr3:uid="{D0F1B34E-B2D8-4CA2-B633-4BD4E8D7E676}" name="Wk 29 2026" dataDxfId="23" dataCellStyle="Percent"/>
    <tableColumn id="65" xr3:uid="{164D3D6B-4F1C-47BC-8C3A-42D8B0DACD02}" name="Wk 30 2026" dataDxfId="22" dataCellStyle="Percent"/>
    <tableColumn id="66" xr3:uid="{02BF2A00-88FD-4084-B2E6-9446A001CC43}" name="Wk 31 2026" dataDxfId="21" dataCellStyle="Percent"/>
    <tableColumn id="67" xr3:uid="{C5EFD435-0242-4482-9D98-D4CC41A6A7AF}" name="Wk 32 2026" dataDxfId="20" dataCellStyle="Percent"/>
    <tableColumn id="68" xr3:uid="{1CE6F0BC-F07B-405D-90AE-CC1C4F8ADF52}" name="Wk 33 2026" dataDxfId="19" dataCellStyle="Percent"/>
    <tableColumn id="69" xr3:uid="{2A3A92FD-16CC-4105-959F-64B83C997902}" name="Wk 34 2026" dataDxfId="18" dataCellStyle="Percent"/>
    <tableColumn id="70" xr3:uid="{8116DA30-D266-4207-ACE3-7C14945389DA}" name="Wk 35 2026" dataDxfId="17" dataCellStyle="Percent"/>
    <tableColumn id="71" xr3:uid="{CAECEBB9-A748-4769-857B-3342E4C729FF}" name="Wk 36 2026" dataDxfId="16" dataCellStyle="Percent"/>
    <tableColumn id="72" xr3:uid="{8CB2587A-2C8D-4A3E-BBB2-D6E711E52ED2}" name="Wk 37 2026" dataDxfId="15" dataCellStyle="Percent"/>
    <tableColumn id="73" xr3:uid="{71C06ADC-AA5D-4D8E-9311-76770D90E06C}" name="Wk 38 2026" dataDxfId="14" dataCellStyle="Percent"/>
    <tableColumn id="74" xr3:uid="{48198F49-F131-4C76-A1D2-27CA0FD939FD}" name="Wk 39 2026" dataDxfId="13" dataCellStyle="Percent"/>
    <tableColumn id="75" xr3:uid="{5D0AB91D-9077-4870-958C-030B842625A4}" name="Wk 40 2026" dataDxfId="12" dataCellStyle="Percent"/>
    <tableColumn id="76" xr3:uid="{E5775D4C-09A6-4222-9DCC-7844B3E81D90}" name="Wk 41 2026" dataDxfId="11" dataCellStyle="Percent"/>
    <tableColumn id="77" xr3:uid="{C1BF29EC-BACC-454D-ABEC-E327A1CA30C3}" name="Wk 42 2026" dataDxfId="10" dataCellStyle="Percent"/>
    <tableColumn id="78" xr3:uid="{19E0BAB5-42D8-4B8E-AA57-D0E3F9A7C34E}" name="Wk 43 2026" dataDxfId="9" dataCellStyle="Percent"/>
    <tableColumn id="79" xr3:uid="{BB9CE3BE-C0D0-49D9-BD2A-9FAEEEB31D6D}" name="Wk 44 2026" dataDxfId="8" dataCellStyle="Percent"/>
    <tableColumn id="80" xr3:uid="{30D70071-2E17-4433-BAEC-65EC8EC8D3E9}" name="Wk 45 2026" dataDxfId="7" dataCellStyle="Percent"/>
    <tableColumn id="81" xr3:uid="{E63760E7-9CC6-4AAC-8114-7FBAE4AA0B55}" name="Wk 46 2026" dataDxfId="6" dataCellStyle="Percent"/>
    <tableColumn id="82" xr3:uid="{21ACBE91-92F3-457E-B81E-FFF488FDE917}" name="Wk 47 2026" dataDxfId="5" dataCellStyle="Percent"/>
    <tableColumn id="83" xr3:uid="{437FA868-1251-45EB-ABBD-1C60F4AFB117}" name="Wk 48 2026" dataDxfId="4" dataCellStyle="Percent"/>
    <tableColumn id="84" xr3:uid="{16C16432-FBA2-4A1E-9070-92F4447C89E1}" name="Wk 49 2026" dataDxfId="3" dataCellStyle="Percent"/>
    <tableColumn id="85" xr3:uid="{88BD1C03-0653-480B-826D-EFF52AC09DC1}" name="Wk 50 2026" dataDxfId="2" dataCellStyle="Percent"/>
    <tableColumn id="86" xr3:uid="{6F6ABEE0-3EDF-4F28-AF74-86A5B8128E83}" name="Wk 51 2026" dataDxfId="1" dataCellStyle="Percent"/>
    <tableColumn id="87" xr3:uid="{12A48B29-AF32-4A2A-B981-6338D988BBA3}" name="Wk 52 2026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77D-25FF-4950-B779-72A32825D78E}">
  <dimension ref="B1:CJ37"/>
  <sheetViews>
    <sheetView tabSelected="1" workbookViewId="0">
      <selection sqref="A1:XFD1048576"/>
    </sheetView>
  </sheetViews>
  <sheetFormatPr defaultRowHeight="15" x14ac:dyDescent="0.25"/>
  <cols>
    <col min="3" max="8" width="9.5703125" bestFit="1" customWidth="1"/>
    <col min="9" max="9" width="11.42578125" bestFit="1" customWidth="1"/>
    <col min="10" max="15" width="9.5703125" bestFit="1" customWidth="1"/>
    <col min="16" max="28" width="11.42578125" bestFit="1" customWidth="1"/>
    <col min="29" max="29" width="11.5703125" bestFit="1" customWidth="1"/>
    <col min="30" max="30" width="12.85546875" bestFit="1" customWidth="1"/>
    <col min="31" max="31" width="11.5703125" bestFit="1" customWidth="1"/>
    <col min="32" max="32" width="13" customWidth="1"/>
    <col min="33" max="34" width="12.85546875" bestFit="1" customWidth="1"/>
    <col min="35" max="35" width="11.5703125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/>
      <c r="AK3" s="1"/>
      <c r="AL3" s="1"/>
      <c r="AM3" s="1"/>
      <c r="AN3" s="2"/>
      <c r="AO3" s="2"/>
      <c r="AP3" s="1"/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x14ac:dyDescent="0.25">
      <c r="B8" s="3" t="s">
        <v>93</v>
      </c>
      <c r="C8" s="1">
        <f>SUBTOTAL(109,C3:C7)</f>
        <v>2989</v>
      </c>
      <c r="D8" s="1">
        <f t="shared" ref="D8:AB8" si="0">SUBTOTAL(109,D3:D7)</f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>SUBTOTAL(109,AC3:AC7)</f>
        <v>162433</v>
      </c>
      <c r="AD8" s="1">
        <f>SUBTOTAL(109,AD3:AD7)</f>
        <v>1864888</v>
      </c>
      <c r="AE8" s="2">
        <f>SUBTOTAL(109,AE3:AE7)</f>
        <v>1000154</v>
      </c>
      <c r="AF8" s="2">
        <f>SUBTOTAL(109,AF3:AF7)</f>
        <v>1266927</v>
      </c>
      <c r="AG8" s="2">
        <f t="shared" ref="AG8:AI8" si="1">SUBTOTAL(109,AG3:AG7)</f>
        <v>1071603</v>
      </c>
      <c r="AH8" s="2">
        <f t="shared" si="1"/>
        <v>880781</v>
      </c>
      <c r="AI8" s="2">
        <f t="shared" si="1"/>
        <v>609769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/>
      <c r="AK13" s="1"/>
      <c r="AL13" s="1"/>
      <c r="AM13" s="1"/>
      <c r="AN13" s="1"/>
      <c r="AO13" s="2"/>
      <c r="AP13" s="2"/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x14ac:dyDescent="0.25">
      <c r="B18" s="13" t="s">
        <v>93</v>
      </c>
      <c r="C18" s="14">
        <f>SUBTOTAL(109,C13:C17)</f>
        <v>67675</v>
      </c>
      <c r="D18" s="14">
        <f t="shared" ref="D18:AD18" si="2">SUBTOTAL(109,D13:D17)</f>
        <v>159326</v>
      </c>
      <c r="E18" s="14">
        <f t="shared" si="2"/>
        <v>68991</v>
      </c>
      <c r="F18" s="14">
        <f t="shared" si="2"/>
        <v>291980</v>
      </c>
      <c r="G18" s="14">
        <f t="shared" si="2"/>
        <v>354405</v>
      </c>
      <c r="H18" s="14">
        <f t="shared" si="2"/>
        <v>315505</v>
      </c>
      <c r="I18" s="14">
        <f t="shared" si="2"/>
        <v>1019070</v>
      </c>
      <c r="J18" s="14">
        <f t="shared" si="2"/>
        <v>493023</v>
      </c>
      <c r="K18" s="14">
        <f t="shared" si="2"/>
        <v>440956</v>
      </c>
      <c r="L18" s="14">
        <f t="shared" si="2"/>
        <v>359674</v>
      </c>
      <c r="M18" s="14">
        <f t="shared" si="2"/>
        <v>336993</v>
      </c>
      <c r="N18" s="14">
        <f t="shared" si="2"/>
        <v>555581</v>
      </c>
      <c r="O18" s="14">
        <f t="shared" si="2"/>
        <v>504882</v>
      </c>
      <c r="P18" s="14">
        <f t="shared" si="2"/>
        <v>1496823</v>
      </c>
      <c r="Q18" s="14">
        <f t="shared" si="2"/>
        <v>1129784</v>
      </c>
      <c r="R18" s="14">
        <f t="shared" si="2"/>
        <v>1313771</v>
      </c>
      <c r="S18" s="14">
        <f t="shared" si="2"/>
        <v>1593556</v>
      </c>
      <c r="T18" s="14">
        <f t="shared" si="2"/>
        <v>1825316</v>
      </c>
      <c r="U18" s="14">
        <f t="shared" si="2"/>
        <v>1995635</v>
      </c>
      <c r="V18" s="14">
        <f t="shared" si="2"/>
        <v>2175588</v>
      </c>
      <c r="W18" s="14">
        <f t="shared" si="2"/>
        <v>2663575</v>
      </c>
      <c r="X18" s="1">
        <f t="shared" si="2"/>
        <v>3804079</v>
      </c>
      <c r="Y18" s="1">
        <f t="shared" si="2"/>
        <v>5238173</v>
      </c>
      <c r="Z18" s="1">
        <f t="shared" si="2"/>
        <v>3157089</v>
      </c>
      <c r="AA18" s="1">
        <f t="shared" si="2"/>
        <v>4929883</v>
      </c>
      <c r="AB18" s="1">
        <f t="shared" si="2"/>
        <v>4880550</v>
      </c>
      <c r="AC18" s="1">
        <f t="shared" si="2"/>
        <v>3465931</v>
      </c>
      <c r="AD18" s="1">
        <f t="shared" si="2"/>
        <v>14065371</v>
      </c>
      <c r="AE18" s="2">
        <f>SUBTOTAL(109,AE13:AE17)</f>
        <v>7658278</v>
      </c>
      <c r="AF18" s="2">
        <f>SUBTOTAL(109,AF13:AF17)</f>
        <v>6606556</v>
      </c>
      <c r="AG18" s="2">
        <f t="shared" ref="AG18:AJ18" si="3">SUBTOTAL(109,AG13:AG17)</f>
        <v>8126363</v>
      </c>
      <c r="AH18" s="2">
        <f t="shared" si="3"/>
        <v>8160461</v>
      </c>
      <c r="AI18" s="2">
        <f t="shared" si="3"/>
        <v>7502558</v>
      </c>
      <c r="AJ18" s="2"/>
      <c r="AK18" s="1"/>
      <c r="AL18" s="1"/>
      <c r="AM18" s="1"/>
      <c r="AN18" s="1"/>
      <c r="AO18" s="2"/>
      <c r="AP18" s="2"/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1.4437762329966231E-2</v>
      </c>
      <c r="I22" s="18">
        <v>1.9139975617865453E-2</v>
      </c>
      <c r="J22" s="18">
        <v>1.8274032514735122E-2</v>
      </c>
      <c r="K22" s="18">
        <v>2.0224827830911406E-2</v>
      </c>
      <c r="L22" s="18">
        <v>2.4843259103428231E-2</v>
      </c>
      <c r="M22" s="18">
        <v>2.1163252827881382E-2</v>
      </c>
      <c r="N22" s="18">
        <v>2.4423926317351258E-2</v>
      </c>
      <c r="O22" s="18">
        <v>2.0259297405097226E-2</v>
      </c>
      <c r="P22" s="18">
        <v>2.3253906608065537E-2</v>
      </c>
      <c r="Q22" s="18">
        <v>3.2178104565411571E-2</v>
      </c>
      <c r="R22" s="18">
        <v>1.8906765581883121E-2</v>
      </c>
      <c r="S22" s="18">
        <v>1.5568823288126104E-2</v>
      </c>
      <c r="T22" s="18">
        <v>1.6856443490507696E-2</v>
      </c>
      <c r="U22" s="18">
        <v>2.8854502082033818E-2</v>
      </c>
      <c r="V22" s="18">
        <v>1.3991526817565689E-2</v>
      </c>
      <c r="W22" s="18">
        <v>1.7662563645982877E-2</v>
      </c>
      <c r="X22" s="19">
        <v>2.1031190228054421E-2</v>
      </c>
      <c r="Y22" s="19">
        <v>2.8474556639807521E-2</v>
      </c>
      <c r="Z22" s="19">
        <v>1.3135763350080844E-2</v>
      </c>
      <c r="AA22" s="19">
        <v>1.816097408743781E-2</v>
      </c>
      <c r="AB22" s="19">
        <v>2.2205897746706216E-2</v>
      </c>
      <c r="AC22" s="19">
        <v>1.6E-2</v>
      </c>
      <c r="AD22" s="19">
        <v>3.9E-2</v>
      </c>
      <c r="AE22" s="20">
        <v>0.03</v>
      </c>
      <c r="AF22" s="20">
        <v>3.4732137375364576E-2</v>
      </c>
      <c r="AG22" s="19">
        <v>2.9979449299789355E-2</v>
      </c>
      <c r="AH22" s="19">
        <v>3.4643946358327515E-2</v>
      </c>
      <c r="AI22" s="19">
        <v>1.8287750210009987E-2</v>
      </c>
      <c r="AJ22" s="19"/>
      <c r="AK22" s="19"/>
      <c r="AL22" s="19"/>
      <c r="AM22" s="19"/>
      <c r="AN22" s="19"/>
      <c r="AO22" s="20"/>
      <c r="AP22" s="20"/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1.0168279437727669E-2</v>
      </c>
      <c r="I23" s="18">
        <v>1.6296309339343569E-2</v>
      </c>
      <c r="J23" s="18">
        <v>2.0505135768278688E-2</v>
      </c>
      <c r="K23" s="18">
        <v>1.5618932562454156E-2</v>
      </c>
      <c r="L23" s="18">
        <v>1.4941812908982749E-2</v>
      </c>
      <c r="M23" s="18">
        <v>1.3014605656963517E-2</v>
      </c>
      <c r="N23" s="18">
        <v>1.3883385031633893E-2</v>
      </c>
      <c r="O23" s="18">
        <v>1.080022634473606E-2</v>
      </c>
      <c r="P23" s="18">
        <v>1.2594400863093606E-2</v>
      </c>
      <c r="Q23" s="18">
        <v>2.0918080154613283E-2</v>
      </c>
      <c r="R23" s="18">
        <v>9.1990473132091636E-3</v>
      </c>
      <c r="S23" s="18">
        <v>8.9642700981454951E-3</v>
      </c>
      <c r="T23" s="18">
        <v>1.8354742146944034E-2</v>
      </c>
      <c r="U23" s="18">
        <v>1.6971744653690224E-2</v>
      </c>
      <c r="V23" s="18">
        <v>9.1915087029889181E-3</v>
      </c>
      <c r="W23" s="18">
        <v>1.2163880024665176E-2</v>
      </c>
      <c r="X23" s="19">
        <v>1.4664146067146857E-2</v>
      </c>
      <c r="Y23" s="19">
        <v>2.5065029834298026E-2</v>
      </c>
      <c r="Z23" s="19">
        <v>6.6346572645513977E-3</v>
      </c>
      <c r="AA23" s="19">
        <v>1.2298358589028804E-2</v>
      </c>
      <c r="AB23" s="19">
        <v>1.5274137293552162E-2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1.0350188900076473E-2</v>
      </c>
      <c r="AH23" s="19">
        <v>1.0263285263674541E-2</v>
      </c>
      <c r="AI23" s="19">
        <v>8.6526540573597602E-3</v>
      </c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1.3193924647039638E-2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1.4371024306921299E-2</v>
      </c>
      <c r="AG24" s="19">
        <v>8.141439175456051E-3</v>
      </c>
      <c r="AH24" s="19">
        <v>6.0640450060178118E-3</v>
      </c>
      <c r="AI24" s="19">
        <v>1.6970058345412434E-2</v>
      </c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2.2482425001580028E-2</v>
      </c>
      <c r="AG25" s="19">
        <v>1.2305027868726675E-2</v>
      </c>
      <c r="AH25" s="19">
        <v>1.1260587039863192E-2</v>
      </c>
      <c r="AI25" s="19">
        <v>1.0288851683757662E-2</v>
      </c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2.8113138481527774E-3</v>
      </c>
      <c r="Y26" s="19">
        <v>5.4512846920112936E-3</v>
      </c>
      <c r="Z26" s="19">
        <v>1.3394653636102328E-3</v>
      </c>
      <c r="AA26" s="19">
        <v>4.3163557852263475E-3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1.7774232797905368E-2</v>
      </c>
      <c r="AG26" s="19">
        <v>1.042463473989901E-2</v>
      </c>
      <c r="AH26" s="19">
        <v>8.9422370276291338E-3</v>
      </c>
      <c r="AI26" s="19">
        <v>2.3726482444878402E-2</v>
      </c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x14ac:dyDescent="0.25">
      <c r="B27" s="28" t="s">
        <v>93</v>
      </c>
      <c r="C27" s="29">
        <f>SUMPRODUCT(C13:C17,C22:C26)/C18</f>
        <v>8.3339490210565196E-3</v>
      </c>
      <c r="D27" s="29">
        <f t="shared" ref="D27:AE27" si="4">SUMPRODUCT(D13:D17,D22:D26)/D18</f>
        <v>7.8957608927607541E-3</v>
      </c>
      <c r="E27" s="29">
        <f t="shared" si="4"/>
        <v>9.2475830180748213E-3</v>
      </c>
      <c r="F27" s="29">
        <f t="shared" si="4"/>
        <v>1.9607507363518049E-2</v>
      </c>
      <c r="G27" s="29">
        <f t="shared" si="4"/>
        <v>1.9178623326420337E-2</v>
      </c>
      <c r="H27" s="29">
        <f t="shared" si="4"/>
        <v>1.2015657438075466E-2</v>
      </c>
      <c r="I27" s="29">
        <f t="shared" si="4"/>
        <v>1.7555221918023296E-2</v>
      </c>
      <c r="J27" s="29">
        <f t="shared" si="4"/>
        <v>1.9228311863746721E-2</v>
      </c>
      <c r="K27" s="29">
        <f t="shared" si="4"/>
        <v>1.7561842904961038E-2</v>
      </c>
      <c r="L27" s="29">
        <f t="shared" si="4"/>
        <v>1.8919910808120687E-2</v>
      </c>
      <c r="M27" s="29">
        <f t="shared" si="4"/>
        <v>1.6178377592412897E-2</v>
      </c>
      <c r="N27" s="29">
        <f t="shared" si="4"/>
        <v>1.8870335738623172E-2</v>
      </c>
      <c r="O27" s="29">
        <f t="shared" si="4"/>
        <v>1.5657123842798912E-2</v>
      </c>
      <c r="P27" s="29">
        <f t="shared" si="4"/>
        <v>1.7022720789298399E-2</v>
      </c>
      <c r="Q27" s="29">
        <f t="shared" si="4"/>
        <v>2.5927964991538207E-2</v>
      </c>
      <c r="R27" s="29">
        <f t="shared" si="4"/>
        <v>1.3384372162271811E-2</v>
      </c>
      <c r="S27" s="29">
        <f t="shared" si="4"/>
        <v>1.2147047232729819E-2</v>
      </c>
      <c r="T27" s="29">
        <f t="shared" si="4"/>
        <v>1.7722958654830177E-2</v>
      </c>
      <c r="U27" s="29">
        <f t="shared" si="4"/>
        <v>2.2622874423429133E-2</v>
      </c>
      <c r="V27" s="29">
        <f t="shared" si="4"/>
        <v>1.1525619740502337E-2</v>
      </c>
      <c r="W27" s="29">
        <f t="shared" si="4"/>
        <v>1.5215265198089035E-2</v>
      </c>
      <c r="X27" s="19">
        <f t="shared" si="4"/>
        <v>1.1029739392899043E-2</v>
      </c>
      <c r="Y27" s="19">
        <f t="shared" si="4"/>
        <v>1.9108379963777448E-2</v>
      </c>
      <c r="Z27" s="19">
        <f t="shared" si="4"/>
        <v>7.072021092848507E-3</v>
      </c>
      <c r="AA27" s="19">
        <f t="shared" si="4"/>
        <v>1.2144710128009124E-2</v>
      </c>
      <c r="AB27" s="19">
        <f t="shared" si="4"/>
        <v>1.5894724979766624E-2</v>
      </c>
      <c r="AC27" s="19">
        <f t="shared" si="4"/>
        <v>1.0433283870913761E-2</v>
      </c>
      <c r="AD27" s="19">
        <f t="shared" si="4"/>
        <v>2.6897899387083354E-2</v>
      </c>
      <c r="AE27" s="20">
        <f t="shared" si="4"/>
        <v>1.8965314004009776E-2</v>
      </c>
      <c r="AF27" s="20">
        <f>SUMPRODUCT(AF13:AF17,AF22:AF26)/AF18</f>
        <v>2.3692978629970635E-2</v>
      </c>
      <c r="AG27" s="20">
        <f>(AG22*AG13+AG23*AG14+AG24*AG15+AG25*AG16+AG26*AG17)/AG18</f>
        <v>1.6194796121107909E-2</v>
      </c>
      <c r="AH27" s="20">
        <f>(AH22*AH13+AH23*AH14+AH24*AH15+AH25*AH16+AH26*AH17)/AH18</f>
        <v>1.6151856214586254E-2</v>
      </c>
      <c r="AI27" s="20">
        <f>(AI22*AI13+AI23*AI14+AI24*AI15+AI25*AI16+AI26*AI17)/AI18</f>
        <v>1.5095419171480101E-2</v>
      </c>
      <c r="AJ27" s="19"/>
      <c r="AK27" s="19"/>
      <c r="AL27" s="19"/>
      <c r="AM27" s="19"/>
      <c r="AN27" s="19"/>
      <c r="AO27" s="20"/>
      <c r="AP27" s="20"/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5.4520547945205475</v>
      </c>
      <c r="I32" s="30">
        <v>5.6338158656629993</v>
      </c>
      <c r="J32" s="30">
        <v>5.1283941039565555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10.811549100968188</v>
      </c>
      <c r="Q32" s="30">
        <v>12.520370942812983</v>
      </c>
      <c r="R32" s="30">
        <v>10.366327388178167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10.548973837478044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/>
      <c r="AK32" s="31"/>
      <c r="AL32" s="31"/>
      <c r="AM32" s="31"/>
      <c r="AN32" s="31"/>
      <c r="AO32" s="32"/>
      <c r="AP32" s="32"/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4.9021978021978025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10.177495462794917</v>
      </c>
      <c r="Q33" s="30">
        <v>11.484601311175483</v>
      </c>
      <c r="R33" s="30">
        <v>9.3213090909090912</v>
      </c>
      <c r="S33" s="30">
        <v>6.6703148223213082</v>
      </c>
      <c r="T33" s="30">
        <v>14.292836498761353</v>
      </c>
      <c r="U33" s="30">
        <v>10.050726269564239</v>
      </c>
      <c r="V33" s="30">
        <v>5.8866932736299038</v>
      </c>
      <c r="W33" s="30">
        <v>5.9529819694868236</v>
      </c>
      <c r="X33" s="31">
        <v>7.2550587467362924</v>
      </c>
      <c r="Y33" s="31">
        <v>10.664504629400406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ref="AE33:AF37" si="5">AE4/(AE14*AE23)</f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5.2749244712990935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5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1.2513701254616771</v>
      </c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5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5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x14ac:dyDescent="0.25">
      <c r="B37" s="13" t="s">
        <v>93</v>
      </c>
      <c r="C37" s="33">
        <f>SUMPRODUCT(C13:C17,C32:C36)/C18</f>
        <v>5.2996453900709222</v>
      </c>
      <c r="D37" s="33">
        <f t="shared" ref="D37:AD37" si="6">SUMPRODUCT(D13:D17,D32:D36)/D18</f>
        <v>4.9864864864864868</v>
      </c>
      <c r="E37" s="33">
        <f t="shared" si="6"/>
        <v>5.2931034482758621</v>
      </c>
      <c r="F37" s="33">
        <f t="shared" si="6"/>
        <v>7.8047161572052399</v>
      </c>
      <c r="G37" s="33">
        <f t="shared" si="6"/>
        <v>6.785372694218931</v>
      </c>
      <c r="H37" s="33">
        <f t="shared" si="6"/>
        <v>5.1401174136807404</v>
      </c>
      <c r="I37" s="33">
        <f t="shared" si="6"/>
        <v>6.0885035158810723</v>
      </c>
      <c r="J37" s="33">
        <f t="shared" si="6"/>
        <v>6.1332727156860702</v>
      </c>
      <c r="K37" s="33">
        <f t="shared" si="6"/>
        <v>5.3527178058107499</v>
      </c>
      <c r="L37" s="33">
        <f t="shared" si="6"/>
        <v>5.3715120535473675</v>
      </c>
      <c r="M37" s="33">
        <f t="shared" si="6"/>
        <v>5.3454260658850261</v>
      </c>
      <c r="N37" s="33">
        <f t="shared" si="6"/>
        <v>6.0900548171145878</v>
      </c>
      <c r="O37" s="33">
        <f t="shared" si="6"/>
        <v>6.2132403748014164</v>
      </c>
      <c r="P37" s="33">
        <f t="shared" si="6"/>
        <v>10.440902831521161</v>
      </c>
      <c r="Q37" s="33">
        <f t="shared" si="6"/>
        <v>11.945442814068828</v>
      </c>
      <c r="R37" s="33">
        <f t="shared" si="6"/>
        <v>9.7718517340139197</v>
      </c>
      <c r="S37" s="33">
        <f t="shared" si="6"/>
        <v>6.8755449198898626</v>
      </c>
      <c r="T37" s="33">
        <f t="shared" si="6"/>
        <v>12.04925528199515</v>
      </c>
      <c r="U37" s="33">
        <f t="shared" si="6"/>
        <v>9.9651604906189704</v>
      </c>
      <c r="V37" s="33">
        <f t="shared" si="6"/>
        <v>5.8805883107385553</v>
      </c>
      <c r="W37" s="33">
        <f t="shared" si="6"/>
        <v>6.3826186546372208</v>
      </c>
      <c r="X37" s="31">
        <f t="shared" si="6"/>
        <v>7.044358563498994</v>
      </c>
      <c r="Y37" s="31">
        <f t="shared" si="6"/>
        <v>9.9001804000889742</v>
      </c>
      <c r="Z37" s="31">
        <f t="shared" si="6"/>
        <v>5.4015650086011213</v>
      </c>
      <c r="AA37" s="31">
        <f t="shared" si="6"/>
        <v>7.1811385053926404</v>
      </c>
      <c r="AB37" s="31">
        <f t="shared" si="6"/>
        <v>7.1262405492748346</v>
      </c>
      <c r="AC37" s="31">
        <f t="shared" si="6"/>
        <v>4.3708967835770531</v>
      </c>
      <c r="AD37" s="31">
        <f t="shared" si="6"/>
        <v>4.6490813281782613</v>
      </c>
      <c r="AE37" s="32">
        <f t="shared" si="5"/>
        <v>6.8861378307008607</v>
      </c>
      <c r="AF37" s="32">
        <f t="shared" si="5"/>
        <v>8.0938808778013875</v>
      </c>
      <c r="AG37" s="32">
        <f>AG8/(AG18*AG27)</f>
        <v>8.1425834408244668</v>
      </c>
      <c r="AH37" s="32">
        <f>AH8/(AH18*AH27)</f>
        <v>6.6823743930082289</v>
      </c>
      <c r="AI37" s="32">
        <f>AI8/(AI18*AI27)</f>
        <v>5.3840713053707816</v>
      </c>
      <c r="AJ37" s="31"/>
      <c r="AK37" s="31"/>
      <c r="AL37" s="31"/>
      <c r="AM37" s="31"/>
      <c r="AN37" s="31"/>
      <c r="AO37" s="32"/>
      <c r="AP37" s="32"/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2025-12-23T23:27:22Z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