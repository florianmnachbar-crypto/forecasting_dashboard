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nachbar\forecasting_dashboard\"/>
    </mc:Choice>
  </mc:AlternateContent>
  <xr:revisionPtr revIDLastSave="0" documentId="13_ncr:1_{CDA8A69A-BB91-4068-B9E1-15AFFC4D876C}" xr6:coauthVersionLast="47" xr6:coauthVersionMax="47" xr10:uidLastSave="{00000000-0000-0000-0000-000000000000}"/>
  <bookViews>
    <workbookView xWindow="10140" yWindow="32280" windowWidth="29040" windowHeight="17520" xr2:uid="{00000000-000D-0000-FFFF-FFFF00000000}"/>
  </bookViews>
  <sheets>
    <sheet name="Actuals" sheetId="1" r:id="rId1"/>
    <sheet name="Forecast" sheetId="2" r:id="rId2"/>
    <sheet name="Promo Regresso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1" i="2" l="1"/>
  <c r="AS31" i="2"/>
  <c r="AR31" i="2"/>
  <c r="AQ31" i="2"/>
  <c r="AP31" i="2"/>
  <c r="AO31" i="2"/>
  <c r="AN31" i="2"/>
  <c r="AF31" i="2"/>
  <c r="AE31" i="2"/>
  <c r="AD31" i="2"/>
  <c r="AC31" i="2"/>
  <c r="AB31" i="2"/>
  <c r="AA31" i="2"/>
  <c r="Z31" i="2"/>
  <c r="AT20" i="2"/>
  <c r="AS20" i="2"/>
  <c r="AR20" i="2"/>
  <c r="AQ20" i="2"/>
  <c r="AP20" i="2"/>
  <c r="AO20" i="2"/>
  <c r="AN20" i="2"/>
  <c r="AM20" i="2"/>
  <c r="AM31" i="2" s="1"/>
  <c r="AL20" i="2"/>
  <c r="AL31" i="2" s="1"/>
  <c r="AK20" i="2"/>
  <c r="AK31" i="2" s="1"/>
  <c r="AJ20" i="2"/>
  <c r="AJ31" i="2" s="1"/>
  <c r="AI20" i="2"/>
  <c r="AI31" i="2" s="1"/>
  <c r="AH20" i="2"/>
  <c r="AH31" i="2" s="1"/>
  <c r="AG20" i="2"/>
  <c r="AG31" i="2" s="1"/>
  <c r="AF20" i="2"/>
  <c r="AE20" i="2"/>
  <c r="AD20" i="2"/>
  <c r="AC20" i="2"/>
  <c r="AB20" i="2"/>
  <c r="AA20" i="2"/>
  <c r="Z20" i="2"/>
  <c r="AT9" i="2"/>
  <c r="AF9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AT5" i="2"/>
  <c r="AS5" i="2"/>
  <c r="AS9" i="2" s="1"/>
  <c r="AR5" i="2"/>
  <c r="AR9" i="2" s="1"/>
  <c r="AQ5" i="2"/>
  <c r="AQ9" i="2" s="1"/>
  <c r="AP5" i="2"/>
  <c r="AP9" i="2" s="1"/>
  <c r="AO5" i="2"/>
  <c r="AO9" i="2" s="1"/>
  <c r="AN5" i="2"/>
  <c r="AN9" i="2" s="1"/>
  <c r="AM5" i="2"/>
  <c r="AL5" i="2"/>
  <c r="AK5" i="2"/>
  <c r="AJ5" i="2"/>
  <c r="AI5" i="2"/>
  <c r="AH5" i="2"/>
  <c r="AG5" i="2"/>
  <c r="AF5" i="2"/>
  <c r="AE5" i="2"/>
  <c r="AE9" i="2" s="1"/>
  <c r="AD5" i="2"/>
  <c r="AD9" i="2" s="1"/>
  <c r="AC5" i="2"/>
  <c r="AC9" i="2" s="1"/>
  <c r="AB5" i="2"/>
  <c r="AB9" i="2" s="1"/>
  <c r="AA5" i="2"/>
  <c r="AA9" i="2" s="1"/>
  <c r="Z5" i="2"/>
  <c r="Z9" i="2" s="1"/>
  <c r="AT4" i="2"/>
  <c r="AT42" i="2" s="1"/>
  <c r="AS4" i="2"/>
  <c r="AS42" i="2" s="1"/>
  <c r="AR4" i="2"/>
  <c r="AR42" i="2" s="1"/>
  <c r="AQ4" i="2"/>
  <c r="AQ42" i="2" s="1"/>
  <c r="AP4" i="2"/>
  <c r="AP42" i="2" s="1"/>
  <c r="AO4" i="2"/>
  <c r="AO42" i="2" s="1"/>
  <c r="AN4" i="2"/>
  <c r="AN42" i="2" s="1"/>
  <c r="AM4" i="2"/>
  <c r="AM9" i="2" s="1"/>
  <c r="AL4" i="2"/>
  <c r="AL42" i="2" s="1"/>
  <c r="AK4" i="2"/>
  <c r="AK42" i="2" s="1"/>
  <c r="AJ4" i="2"/>
  <c r="AJ9" i="2" s="1"/>
  <c r="AI4" i="2"/>
  <c r="AI9" i="2" s="1"/>
  <c r="AH4" i="2"/>
  <c r="AH9" i="2" s="1"/>
  <c r="AG4" i="2"/>
  <c r="AG9" i="2" s="1"/>
  <c r="AF4" i="2"/>
  <c r="AF42" i="2" s="1"/>
  <c r="AE4" i="2"/>
  <c r="AE42" i="2" s="1"/>
  <c r="AD4" i="2"/>
  <c r="AD42" i="2" s="1"/>
  <c r="AC4" i="2"/>
  <c r="AC42" i="2" s="1"/>
  <c r="AB4" i="2"/>
  <c r="AB42" i="2" s="1"/>
  <c r="AA4" i="2"/>
  <c r="AA42" i="2" s="1"/>
  <c r="Z4" i="2"/>
  <c r="Z42" i="2" s="1"/>
  <c r="AL37" i="1"/>
  <c r="X37" i="1"/>
  <c r="W37" i="1"/>
  <c r="V37" i="1"/>
  <c r="U37" i="1"/>
  <c r="T37" i="1"/>
  <c r="S37" i="1"/>
  <c r="R37" i="1"/>
  <c r="J37" i="1"/>
  <c r="I37" i="1"/>
  <c r="H37" i="1"/>
  <c r="G37" i="1"/>
  <c r="F37" i="1"/>
  <c r="E37" i="1"/>
  <c r="D37" i="1"/>
  <c r="AE36" i="1"/>
  <c r="AE35" i="1"/>
  <c r="AE34" i="1"/>
  <c r="AE33" i="1"/>
  <c r="AE32" i="1"/>
  <c r="AL27" i="1"/>
  <c r="AK27" i="1"/>
  <c r="AJ27" i="1"/>
  <c r="AI27" i="1"/>
  <c r="AH27" i="1"/>
  <c r="AG27" i="1"/>
  <c r="AF27" i="1"/>
  <c r="AE27" i="1"/>
  <c r="X27" i="1"/>
  <c r="W27" i="1"/>
  <c r="V27" i="1"/>
  <c r="U27" i="1"/>
  <c r="T27" i="1"/>
  <c r="S27" i="1"/>
  <c r="R27" i="1"/>
  <c r="Q27" i="1"/>
  <c r="J27" i="1"/>
  <c r="I27" i="1"/>
  <c r="H27" i="1"/>
  <c r="G27" i="1"/>
  <c r="F27" i="1"/>
  <c r="E27" i="1"/>
  <c r="D27" i="1"/>
  <c r="C27" i="1"/>
  <c r="AL18" i="1"/>
  <c r="AK18" i="1"/>
  <c r="AJ18" i="1"/>
  <c r="AI18" i="1"/>
  <c r="AH18" i="1"/>
  <c r="AG18" i="1"/>
  <c r="AF18" i="1"/>
  <c r="AE18" i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W18" i="1"/>
  <c r="V18" i="1"/>
  <c r="U18" i="1"/>
  <c r="T18" i="1"/>
  <c r="S18" i="1"/>
  <c r="R18" i="1"/>
  <c r="Q18" i="1"/>
  <c r="Q37" i="1" s="1"/>
  <c r="P18" i="1"/>
  <c r="P27" i="1" s="1"/>
  <c r="O18" i="1"/>
  <c r="O27" i="1" s="1"/>
  <c r="N18" i="1"/>
  <c r="N37" i="1" s="1"/>
  <c r="M18" i="1"/>
  <c r="M37" i="1" s="1"/>
  <c r="L18" i="1"/>
  <c r="L27" i="1" s="1"/>
  <c r="K18" i="1"/>
  <c r="K27" i="1" s="1"/>
  <c r="J18" i="1"/>
  <c r="I18" i="1"/>
  <c r="H18" i="1"/>
  <c r="G18" i="1"/>
  <c r="F18" i="1"/>
  <c r="E18" i="1"/>
  <c r="D18" i="1"/>
  <c r="C18" i="1"/>
  <c r="C37" i="1" s="1"/>
  <c r="AK8" i="1"/>
  <c r="AK37" i="1" s="1"/>
  <c r="AJ8" i="1"/>
  <c r="AJ37" i="1" s="1"/>
  <c r="AI8" i="1"/>
  <c r="AI37" i="1" s="1"/>
  <c r="AH8" i="1"/>
  <c r="AH37" i="1" s="1"/>
  <c r="AG8" i="1"/>
  <c r="AG37" i="1" s="1"/>
  <c r="AF8" i="1"/>
  <c r="AF37" i="1" s="1"/>
  <c r="AE8" i="1"/>
  <c r="AE37" i="1" s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J42" i="2" l="1"/>
  <c r="AM42" i="2"/>
  <c r="AG42" i="2"/>
  <c r="AH42" i="2"/>
  <c r="K37" i="1"/>
  <c r="Z37" i="1"/>
  <c r="AA37" i="1"/>
  <c r="M27" i="1"/>
  <c r="AB37" i="1"/>
  <c r="N27" i="1"/>
  <c r="O37" i="1"/>
  <c r="AC37" i="1"/>
  <c r="AK9" i="2"/>
  <c r="P37" i="1"/>
  <c r="AD37" i="1"/>
  <c r="AL9" i="2"/>
  <c r="AI42" i="2"/>
  <c r="Y37" i="1"/>
  <c r="L37" i="1"/>
</calcChain>
</file>

<file path=xl/sharedStrings.xml><?xml version="1.0" encoding="utf-8"?>
<sst xmlns="http://schemas.openxmlformats.org/spreadsheetml/2006/main" count="945" uniqueCount="121">
  <si>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</si>
  <si>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</si>
  <si>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</si>
  <si>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</si>
  <si>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</si>
  <si>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</si>
  <si>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</si>
  <si>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</si>
  <si>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</si>
  <si>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</si>
  <si>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</si>
  <si>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</si>
  <si>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</si>
  <si>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</si>
  <si>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</si>
  <si>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</si>
  <si>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</si>
  <si>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</si>
  <si>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</si>
  <si>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</si>
  <si>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</si>
  <si>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</si>
  <si>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</si>
  <si>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</si>
  <si>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</si>
  <si>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</si>
  <si>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</si>
  <si>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</si>
  <si>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</si>
  <si>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</si>
  <si>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</si>
  <si>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</si>
  <si>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</si>
  <si>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</si>
  <si>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</si>
  <si>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</si>
  <si>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</si>
  <si>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</si>
  <si>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</si>
  <si>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</si>
  <si>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</si>
  <si>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</si>
  <si>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</si>
  <si>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</si>
  <si>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</si>
  <si>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</si>
  <si>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</si>
  <si>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</si>
  <si>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</si>
  <si>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</si>
  <si>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</si>
  <si>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</si>
  <si>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</si>
  <si>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</si>
  <si>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</si>
  <si>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</si>
  <si>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</si>
  <si>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</si>
  <si>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</si>
  <si>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</si>
  <si>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</si>
  <si>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</si>
  <si>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</si>
  <si>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</si>
  <si>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</si>
  <si>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</si>
  <si>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</si>
  <si>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</si>
  <si>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</si>
  <si>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</si>
  <si>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</si>
  <si>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</si>
  <si>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</si>
  <si>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</si>
  <si>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</si>
  <si>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</si>
  <si>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</si>
  <si>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</si>
  <si>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</si>
  <si>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</si>
  <si>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</si>
  <si>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</si>
  <si>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</si>
  <si>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</si>
  <si>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</si>
  <si>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</si>
  <si>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</si>
  <si>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</si>
  <si>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</si>
  <si>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</si>
  <si>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</si>
  <si>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</si>
  <si>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</si>
  <si>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</si>
  <si>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</si>
  <si>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</si>
  <si>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</si>
  <si>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Actuals</t>
  </si>
  <si>
    <t>Pre Update</t>
  </si>
  <si>
    <t>8.5MM</t>
  </si>
  <si>
    <t>Post Update 20/01/2026</t>
  </si>
  <si>
    <t>7.1MM</t>
  </si>
  <si>
    <t>CVR</t>
  </si>
  <si>
    <t>promo_type</t>
  </si>
  <si>
    <t>Wk01 2026</t>
  </si>
  <si>
    <t>Wk02 2026</t>
  </si>
  <si>
    <t>Wk03 2026</t>
  </si>
  <si>
    <t>Wk04 2026</t>
  </si>
  <si>
    <t>Wk05 2026</t>
  </si>
  <si>
    <t>Wk06 2026</t>
  </si>
  <si>
    <t>Wk07 2026</t>
  </si>
  <si>
    <t>Wk08 2026</t>
  </si>
  <si>
    <t>Wk09 2026</t>
  </si>
  <si>
    <t>Wk10 2026</t>
  </si>
  <si>
    <t>Wk11 2026</t>
  </si>
  <si>
    <t>Wk12 2026</t>
  </si>
  <si>
    <t>Wk13 2026</t>
  </si>
  <si>
    <t>Wk14 2026</t>
  </si>
  <si>
    <t>discount_pct</t>
  </si>
  <si>
    <t>volume_impact</t>
  </si>
  <si>
    <t>promo_count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</si>
</sst>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%;\-#,##0.00%"/>
    <numFmt numFmtId="165" formatCode="#,##0.##;\-#,##0.##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/>
  </cellStyleXfs>
  <cellXfs count="53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654"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numFmt numFmtId="1" formatCode="0"/>
    </dxf>
    <dxf>
      <numFmt numFmtId="1" formatCode="0"/>
    </dxf>
    <dxf>
      <border outline="0">
        <left style="thin">
          <color rgb="FF44B3E1"/>
        </left>
        <top style="thin">
          <color rgb="FF44B3E1"/>
        </top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fill>
        <patternFill patternType="solid">
          <fgColor indexed="64"/>
          <bgColor rgb="FFFFFFFF"/>
        </patternFill>
      </fill>
      <alignment horizontal="center" vertical="center" wrapText="1"/>
    </dxf>
    <dxf>
      <border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ActualUnits" displayName="tblActualUnits" ref="B2:CJ8" totalsRowShown="0">
  <autoFilter ref="B2:CJ8" xr:uid="{00000000-0009-0000-0100-000001000000}"/>
  <tableColumns count="87">
    <tableColumn id="1" xr3:uid="{00000000-0010-0000-0000-000001000000}" name="MP"/>
    <tableColumn id="2" xr3:uid="{00000000-0010-0000-0000-000002000000}" name="Wk19 2025" dataDxfId="653"/>
    <tableColumn id="3" xr3:uid="{00000000-0010-0000-0000-000003000000}" name="Wk20 2025" dataDxfId="652"/>
    <tableColumn id="4" xr3:uid="{00000000-0010-0000-0000-000004000000}" name="Wk21 2025" dataDxfId="651"/>
    <tableColumn id="5" xr3:uid="{00000000-0010-0000-0000-000005000000}" name="Wk22 2025" dataDxfId="650"/>
    <tableColumn id="6" xr3:uid="{00000000-0010-0000-0000-000006000000}" name="Wk23 2025" dataDxfId="649"/>
    <tableColumn id="7" xr3:uid="{00000000-0010-0000-0000-000007000000}" name="Wk24 2025" dataDxfId="648"/>
    <tableColumn id="8" xr3:uid="{00000000-0010-0000-0000-000008000000}" name="Wk25 2025" dataDxfId="647"/>
    <tableColumn id="9" xr3:uid="{00000000-0010-0000-0000-000009000000}" name="Wk26 2025" dataDxfId="646"/>
    <tableColumn id="10" xr3:uid="{00000000-0010-0000-0000-00000A000000}" name="Wk27 2025" dataDxfId="645"/>
    <tableColumn id="11" xr3:uid="{00000000-0010-0000-0000-00000B000000}" name="Wk28 2025" dataDxfId="644"/>
    <tableColumn id="12" xr3:uid="{00000000-0010-0000-0000-00000C000000}" name="Wk29 2025" dataDxfId="643"/>
    <tableColumn id="13" xr3:uid="{00000000-0010-0000-0000-00000D000000}" name="Wk30 2025" dataDxfId="642"/>
    <tableColumn id="14" xr3:uid="{00000000-0010-0000-0000-00000E000000}" name="Wk31 2025" dataDxfId="641"/>
    <tableColumn id="15" xr3:uid="{00000000-0010-0000-0000-00000F000000}" name="Wk32 2025" dataDxfId="640"/>
    <tableColumn id="16" xr3:uid="{00000000-0010-0000-0000-000010000000}" name="Wk33 2025" dataDxfId="639"/>
    <tableColumn id="17" xr3:uid="{00000000-0010-0000-0000-000011000000}" name="Wk34 2025" dataDxfId="638"/>
    <tableColumn id="18" xr3:uid="{00000000-0010-0000-0000-000012000000}" name="Wk35 2025" dataDxfId="637"/>
    <tableColumn id="19" xr3:uid="{00000000-0010-0000-0000-000013000000}" name="Wk36 2025" dataDxfId="636"/>
    <tableColumn id="20" xr3:uid="{00000000-0010-0000-0000-000014000000}" name="Wk37 2025" dataDxfId="635"/>
    <tableColumn id="21" xr3:uid="{00000000-0010-0000-0000-000015000000}" name="Wk38 2025" dataDxfId="634"/>
    <tableColumn id="22" xr3:uid="{00000000-0010-0000-0000-000016000000}" name="Wk39 2025" dataDxfId="633"/>
    <tableColumn id="23" xr3:uid="{00000000-0010-0000-0000-000017000000}" name="Wk40 2025" dataDxfId="632"/>
    <tableColumn id="24" xr3:uid="{00000000-0010-0000-0000-000018000000}" name="Wk41 2025" dataDxfId="631"/>
    <tableColumn id="25" xr3:uid="{00000000-0010-0000-0000-000019000000}" name="Wk42 2025" dataDxfId="630"/>
    <tableColumn id="26" xr3:uid="{00000000-0010-0000-0000-00001A000000}" name="Wk43 2025" dataDxfId="629"/>
    <tableColumn id="27" xr3:uid="{00000000-0010-0000-0000-00001B000000}" name="Wk44 2025" dataDxfId="628"/>
    <tableColumn id="28" xr3:uid="{00000000-0010-0000-0000-00001C000000}" name="Wk45 2025" dataDxfId="627"/>
    <tableColumn id="29" xr3:uid="{00000000-0010-0000-0000-00001D000000}" name="Wk46 2025" dataDxfId="626"/>
    <tableColumn id="30" xr3:uid="{00000000-0010-0000-0000-00001E000000}" name="Wk47 2025" dataDxfId="625"/>
    <tableColumn id="31" xr3:uid="{00000000-0010-0000-0000-00001F000000}" name="Wk48 2025" dataDxfId="624"/>
    <tableColumn id="32" xr3:uid="{00000000-0010-0000-0000-000020000000}" name="Wk49 2025" dataDxfId="623"/>
    <tableColumn id="33" xr3:uid="{00000000-0010-0000-0000-000021000000}" name="Wk50 2025" dataDxfId="622"/>
    <tableColumn id="34" xr3:uid="{00000000-0010-0000-0000-000022000000}" name="Wk51 2025" dataDxfId="621"/>
    <tableColumn id="35" xr3:uid="{00000000-0010-0000-0000-000023000000}" name="Wk52 2025" dataDxfId="620"/>
    <tableColumn id="36" xr3:uid="{00000000-0010-0000-0000-000024000000}" name="Wk 1 2026" dataDxfId="619"/>
    <tableColumn id="37" xr3:uid="{00000000-0010-0000-0000-000025000000}" name="Wk 2 2026" dataDxfId="618"/>
    <tableColumn id="38" xr3:uid="{00000000-0010-0000-0000-000026000000}" name="Wk 3 2026" dataDxfId="617"/>
    <tableColumn id="39" xr3:uid="{00000000-0010-0000-0000-000027000000}" name="Wk 4 2026" dataDxfId="616"/>
    <tableColumn id="40" xr3:uid="{00000000-0010-0000-0000-000028000000}" name="Wk 5 2026" dataDxfId="615"/>
    <tableColumn id="41" xr3:uid="{00000000-0010-0000-0000-000029000000}" name="Wk 6 2026" dataDxfId="3"/>
    <tableColumn id="42" xr3:uid="{00000000-0010-0000-0000-00002A000000}" name="Wk 7 2026" dataDxfId="614"/>
    <tableColumn id="43" xr3:uid="{00000000-0010-0000-0000-00002B000000}" name="Wk 8 2026" dataDxfId="613"/>
    <tableColumn id="44" xr3:uid="{00000000-0010-0000-0000-00002C000000}" name="Wk 9 2026" dataDxfId="612"/>
    <tableColumn id="45" xr3:uid="{00000000-0010-0000-0000-00002D000000}" name="Wk 10 2026" dataDxfId="611"/>
    <tableColumn id="46" xr3:uid="{00000000-0010-0000-0000-00002E000000}" name="Wk 11 2026" dataDxfId="610"/>
    <tableColumn id="47" xr3:uid="{00000000-0010-0000-0000-00002F000000}" name="Wk 12 2026" dataDxfId="609"/>
    <tableColumn id="48" xr3:uid="{00000000-0010-0000-0000-000030000000}" name="Wk 13 2026" dataDxfId="608"/>
    <tableColumn id="49" xr3:uid="{00000000-0010-0000-0000-000031000000}" name="Wk 14 2026" dataDxfId="607"/>
    <tableColumn id="50" xr3:uid="{00000000-0010-0000-0000-000032000000}" name="Wk 15 2026" dataDxfId="606"/>
    <tableColumn id="51" xr3:uid="{00000000-0010-0000-0000-000033000000}" name="Wk 16 2026" dataDxfId="605"/>
    <tableColumn id="52" xr3:uid="{00000000-0010-0000-0000-000034000000}" name="Wk 17 2026" dataDxfId="604"/>
    <tableColumn id="53" xr3:uid="{00000000-0010-0000-0000-000035000000}" name="Wk 18 2026" dataDxfId="603"/>
    <tableColumn id="54" xr3:uid="{00000000-0010-0000-0000-000036000000}" name="Wk 19 2026" dataDxfId="602"/>
    <tableColumn id="55" xr3:uid="{00000000-0010-0000-0000-000037000000}" name="Wk 20 2026" dataDxfId="601"/>
    <tableColumn id="56" xr3:uid="{00000000-0010-0000-0000-000038000000}" name="Wk 21 2026" dataDxfId="600"/>
    <tableColumn id="57" xr3:uid="{00000000-0010-0000-0000-000039000000}" name="Wk 22 2026" dataDxfId="599"/>
    <tableColumn id="58" xr3:uid="{00000000-0010-0000-0000-00003A000000}" name="Wk 23 2026" dataDxfId="598"/>
    <tableColumn id="59" xr3:uid="{00000000-0010-0000-0000-00003B000000}" name="Wk 24 2026" dataDxfId="597"/>
    <tableColumn id="60" xr3:uid="{00000000-0010-0000-0000-00003C000000}" name="Wk 25 2026" dataDxfId="596"/>
    <tableColumn id="61" xr3:uid="{00000000-0010-0000-0000-00003D000000}" name="Wk 26 2026" dataDxfId="595"/>
    <tableColumn id="62" xr3:uid="{00000000-0010-0000-0000-00003E000000}" name="Wk 27 2026" dataDxfId="594"/>
    <tableColumn id="63" xr3:uid="{00000000-0010-0000-0000-00003F000000}" name="Wk 28 2026" dataDxfId="593"/>
    <tableColumn id="64" xr3:uid="{00000000-0010-0000-0000-000040000000}" name="Wk 29 2026" dataDxfId="592"/>
    <tableColumn id="65" xr3:uid="{00000000-0010-0000-0000-000041000000}" name="Wk 30 2026" dataDxfId="591"/>
    <tableColumn id="66" xr3:uid="{00000000-0010-0000-0000-000042000000}" name="Wk 31 2026" dataDxfId="590"/>
    <tableColumn id="67" xr3:uid="{00000000-0010-0000-0000-000043000000}" name="Wk 32 2026" dataDxfId="589"/>
    <tableColumn id="68" xr3:uid="{00000000-0010-0000-0000-000044000000}" name="Wk 33 2026" dataDxfId="588"/>
    <tableColumn id="69" xr3:uid="{00000000-0010-0000-0000-000045000000}" name="Wk 34 2026" dataDxfId="587"/>
    <tableColumn id="70" xr3:uid="{00000000-0010-0000-0000-000046000000}" name="Wk 35 2026" dataDxfId="586"/>
    <tableColumn id="71" xr3:uid="{00000000-0010-0000-0000-000047000000}" name="Wk 36 2026" dataDxfId="585"/>
    <tableColumn id="72" xr3:uid="{00000000-0010-0000-0000-000048000000}" name="Wk 37 2026" dataDxfId="584"/>
    <tableColumn id="73" xr3:uid="{00000000-0010-0000-0000-000049000000}" name="Wk 38 2026" dataDxfId="583"/>
    <tableColumn id="74" xr3:uid="{00000000-0010-0000-0000-00004A000000}" name="Wk 39 2026" dataDxfId="582"/>
    <tableColumn id="75" xr3:uid="{00000000-0010-0000-0000-00004B000000}" name="Wk 40 2026" dataDxfId="581"/>
    <tableColumn id="76" xr3:uid="{00000000-0010-0000-0000-00004C000000}" name="Wk 41 2026" dataDxfId="580"/>
    <tableColumn id="77" xr3:uid="{00000000-0010-0000-0000-00004D000000}" name="Wk 42 2026" dataDxfId="579"/>
    <tableColumn id="78" xr3:uid="{00000000-0010-0000-0000-00004E000000}" name="Wk 43 2026" dataDxfId="578"/>
    <tableColumn id="79" xr3:uid="{00000000-0010-0000-0000-00004F000000}" name="Wk 44 2026" dataDxfId="577"/>
    <tableColumn id="80" xr3:uid="{00000000-0010-0000-0000-000050000000}" name="Wk 45 2026" dataDxfId="576"/>
    <tableColumn id="81" xr3:uid="{00000000-0010-0000-0000-000051000000}" name="Wk 46 2026" dataDxfId="575"/>
    <tableColumn id="82" xr3:uid="{00000000-0010-0000-0000-000052000000}" name="Wk 47 2026" dataDxfId="574"/>
    <tableColumn id="83" xr3:uid="{00000000-0010-0000-0000-000053000000}" name="Wk 48 2026" dataDxfId="573"/>
    <tableColumn id="84" xr3:uid="{00000000-0010-0000-0000-000054000000}" name="Wk 49 2026" dataDxfId="572"/>
    <tableColumn id="85" xr3:uid="{00000000-0010-0000-0000-000055000000}" name="Wk 50 2026" dataDxfId="571"/>
    <tableColumn id="86" xr3:uid="{00000000-0010-0000-0000-000056000000}" name="Wk 51 2026" dataDxfId="570"/>
    <tableColumn id="87" xr3:uid="{00000000-0010-0000-0000-000057000000}" name="Wk 52 2026" dataDxfId="5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ctualsUPO" displayName="tblActualsUPO" ref="B31:CJ37" totalsRowShown="0">
  <autoFilter ref="B31:CJ37" xr:uid="{00000000-0009-0000-0100-000002000000}"/>
  <tableColumns count="87">
    <tableColumn id="1" xr3:uid="{00000000-0010-0000-0100-000001000000}" name="MP" dataDxfId="568"/>
    <tableColumn id="2" xr3:uid="{00000000-0010-0000-0100-000002000000}" name="Wk19 2025" dataDxfId="567"/>
    <tableColumn id="3" xr3:uid="{00000000-0010-0000-0100-000003000000}" name="Wk20 2025" dataDxfId="566"/>
    <tableColumn id="4" xr3:uid="{00000000-0010-0000-0100-000004000000}" name="Wk21 2025" dataDxfId="565"/>
    <tableColumn id="5" xr3:uid="{00000000-0010-0000-0100-000005000000}" name="Wk22 2025" dataDxfId="564"/>
    <tableColumn id="6" xr3:uid="{00000000-0010-0000-0100-000006000000}" name="Wk23 2025" dataDxfId="563"/>
    <tableColumn id="7" xr3:uid="{00000000-0010-0000-0100-000007000000}" name="Wk24 2025"/>
    <tableColumn id="8" xr3:uid="{00000000-0010-0000-0100-000008000000}" name="Wk25 2025"/>
    <tableColumn id="9" xr3:uid="{00000000-0010-0000-0100-000009000000}" name="Wk26 2025"/>
    <tableColumn id="10" xr3:uid="{00000000-0010-0000-0100-00000A000000}" name="Wk27 2025"/>
    <tableColumn id="11" xr3:uid="{00000000-0010-0000-0100-00000B000000}" name="Wk28 2025"/>
    <tableColumn id="12" xr3:uid="{00000000-0010-0000-0100-00000C000000}" name="Wk29 2025"/>
    <tableColumn id="13" xr3:uid="{00000000-0010-0000-0100-00000D000000}" name="Wk30 2025"/>
    <tableColumn id="14" xr3:uid="{00000000-0010-0000-0100-00000E000000}" name="Wk31 2025"/>
    <tableColumn id="15" xr3:uid="{00000000-0010-0000-0100-00000F000000}" name="Wk32 2025"/>
    <tableColumn id="16" xr3:uid="{00000000-0010-0000-0100-000010000000}" name="Wk33 2025"/>
    <tableColumn id="17" xr3:uid="{00000000-0010-0000-0100-000011000000}" name="Wk34 2025"/>
    <tableColumn id="18" xr3:uid="{00000000-0010-0000-0100-000012000000}" name="Wk35 2025"/>
    <tableColumn id="19" xr3:uid="{00000000-0010-0000-0100-000013000000}" name="Wk36 2025"/>
    <tableColumn id="20" xr3:uid="{00000000-0010-0000-0100-000014000000}" name="Wk37 2025"/>
    <tableColumn id="21" xr3:uid="{00000000-0010-0000-0100-000015000000}" name="Wk38 2025"/>
    <tableColumn id="22" xr3:uid="{00000000-0010-0000-0100-000016000000}" name="Wk39 2025" dataDxfId="562"/>
    <tableColumn id="23" xr3:uid="{00000000-0010-0000-0100-000017000000}" name="Wk40 2025" dataDxfId="561"/>
    <tableColumn id="24" xr3:uid="{00000000-0010-0000-0100-000018000000}" name="Wk41 2025" dataDxfId="560"/>
    <tableColumn id="25" xr3:uid="{00000000-0010-0000-0100-000019000000}" name="Wk42 2025" dataDxfId="559"/>
    <tableColumn id="26" xr3:uid="{00000000-0010-0000-0100-00001A000000}" name="Wk43 2025" dataDxfId="558"/>
    <tableColumn id="27" xr3:uid="{00000000-0010-0000-0100-00001B000000}" name="Wk44 2025" dataDxfId="557"/>
    <tableColumn id="28" xr3:uid="{00000000-0010-0000-0100-00001C000000}" name="Wk45 2025" dataDxfId="556"/>
    <tableColumn id="29" xr3:uid="{00000000-0010-0000-0100-00001D000000}" name="Wk46 2025" dataDxfId="555"/>
    <tableColumn id="30" xr3:uid="{00000000-0010-0000-0100-00001E000000}" name="Wk47 2025" dataDxfId="554">
      <calculatedColumnFormula>AE3/(AE13*AE22)</calculatedColumnFormula>
    </tableColumn>
    <tableColumn id="31" xr3:uid="{00000000-0010-0000-0100-00001F000000}" name="Wk48 2025" dataDxfId="553"/>
    <tableColumn id="32" xr3:uid="{00000000-0010-0000-0100-000020000000}" name="Wk49 2025" dataDxfId="552"/>
    <tableColumn id="33" xr3:uid="{00000000-0010-0000-0100-000021000000}" name="Wk50 2025" dataDxfId="551">
      <calculatedColumnFormula>AH3/(AH13*AH22)</calculatedColumnFormula>
    </tableColumn>
    <tableColumn id="34" xr3:uid="{00000000-0010-0000-0100-000022000000}" name="Wk51 2025" dataDxfId="550"/>
    <tableColumn id="35" xr3:uid="{00000000-0010-0000-0100-000023000000}" name="Wk52 2025" dataDxfId="549"/>
    <tableColumn id="36" xr3:uid="{00000000-0010-0000-0100-000024000000}" name="Wk 1 2026" dataDxfId="548"/>
    <tableColumn id="37" xr3:uid="{00000000-0010-0000-0100-000025000000}" name="Wk 2 2026" dataDxfId="547"/>
    <tableColumn id="38" xr3:uid="{00000000-0010-0000-0100-000026000000}" name="Wk 3 2026" dataDxfId="546"/>
    <tableColumn id="39" xr3:uid="{00000000-0010-0000-0100-000027000000}" name="Wk 4 2026" dataDxfId="545"/>
    <tableColumn id="40" xr3:uid="{00000000-0010-0000-0100-000028000000}" name="Wk 5 2026" dataDxfId="544"/>
    <tableColumn id="41" xr3:uid="{00000000-0010-0000-0100-000029000000}" name="Wk 6 2026" dataDxfId="0"/>
    <tableColumn id="42" xr3:uid="{00000000-0010-0000-0100-00002A000000}" name="Wk 7 2026" dataDxfId="543"/>
    <tableColumn id="43" xr3:uid="{00000000-0010-0000-0100-00002B000000}" name="Wk 8 2026" dataDxfId="542"/>
    <tableColumn id="44" xr3:uid="{00000000-0010-0000-0100-00002C000000}" name="Wk 9 2026" dataDxfId="541"/>
    <tableColumn id="45" xr3:uid="{00000000-0010-0000-0100-00002D000000}" name="Wk 10 2026" dataDxfId="540"/>
    <tableColumn id="46" xr3:uid="{00000000-0010-0000-0100-00002E000000}" name="Wk 11 2026" dataDxfId="539"/>
    <tableColumn id="47" xr3:uid="{00000000-0010-0000-0100-00002F000000}" name="Wk 12 2026" dataDxfId="538"/>
    <tableColumn id="48" xr3:uid="{00000000-0010-0000-0100-000030000000}" name="Wk 13 2026" dataDxfId="537"/>
    <tableColumn id="49" xr3:uid="{00000000-0010-0000-0100-000031000000}" name="Wk 14 2026" dataDxfId="536"/>
    <tableColumn id="50" xr3:uid="{00000000-0010-0000-0100-000032000000}" name="Wk 15 2026" dataDxfId="535"/>
    <tableColumn id="51" xr3:uid="{00000000-0010-0000-0100-000033000000}" name="Wk 16 2026" dataDxfId="534"/>
    <tableColumn id="52" xr3:uid="{00000000-0010-0000-0100-000034000000}" name="Wk 17 2026" dataDxfId="533"/>
    <tableColumn id="53" xr3:uid="{00000000-0010-0000-0100-000035000000}" name="Wk 18 2026" dataDxfId="532"/>
    <tableColumn id="54" xr3:uid="{00000000-0010-0000-0100-000036000000}" name="Wk 19 2026" dataDxfId="531"/>
    <tableColumn id="55" xr3:uid="{00000000-0010-0000-0100-000037000000}" name="Wk 20 2026" dataDxfId="530"/>
    <tableColumn id="56" xr3:uid="{00000000-0010-0000-0100-000038000000}" name="Wk 21 2026" dataDxfId="529"/>
    <tableColumn id="57" xr3:uid="{00000000-0010-0000-0100-000039000000}" name="Wk 22 2026" dataDxfId="528"/>
    <tableColumn id="58" xr3:uid="{00000000-0010-0000-0100-00003A000000}" name="Wk 23 2026" dataDxfId="527"/>
    <tableColumn id="59" xr3:uid="{00000000-0010-0000-0100-00003B000000}" name="Wk 24 2026" dataDxfId="526"/>
    <tableColumn id="60" xr3:uid="{00000000-0010-0000-0100-00003C000000}" name="Wk 25 2026" dataDxfId="525"/>
    <tableColumn id="61" xr3:uid="{00000000-0010-0000-0100-00003D000000}" name="Wk 26 2026" dataDxfId="524"/>
    <tableColumn id="62" xr3:uid="{00000000-0010-0000-0100-00003E000000}" name="Wk 27 2026" dataDxfId="523"/>
    <tableColumn id="63" xr3:uid="{00000000-0010-0000-0100-00003F000000}" name="Wk 28 2026" dataDxfId="522"/>
    <tableColumn id="64" xr3:uid="{00000000-0010-0000-0100-000040000000}" name="Wk 29 2026" dataDxfId="521"/>
    <tableColumn id="65" xr3:uid="{00000000-0010-0000-0100-000041000000}" name="Wk 30 2026" dataDxfId="520"/>
    <tableColumn id="66" xr3:uid="{00000000-0010-0000-0100-000042000000}" name="Wk 31 2026" dataDxfId="519"/>
    <tableColumn id="67" xr3:uid="{00000000-0010-0000-0100-000043000000}" name="Wk 32 2026" dataDxfId="518"/>
    <tableColumn id="68" xr3:uid="{00000000-0010-0000-0100-000044000000}" name="Wk 33 2026" dataDxfId="517"/>
    <tableColumn id="69" xr3:uid="{00000000-0010-0000-0100-000045000000}" name="Wk 34 2026" dataDxfId="516"/>
    <tableColumn id="70" xr3:uid="{00000000-0010-0000-0100-000046000000}" name="Wk 35 2026" dataDxfId="515"/>
    <tableColumn id="71" xr3:uid="{00000000-0010-0000-0100-000047000000}" name="Wk 36 2026" dataDxfId="514"/>
    <tableColumn id="72" xr3:uid="{00000000-0010-0000-0100-000048000000}" name="Wk 37 2026" dataDxfId="513"/>
    <tableColumn id="73" xr3:uid="{00000000-0010-0000-0100-000049000000}" name="Wk 38 2026" dataDxfId="512"/>
    <tableColumn id="74" xr3:uid="{00000000-0010-0000-0100-00004A000000}" name="Wk 39 2026" dataDxfId="511"/>
    <tableColumn id="75" xr3:uid="{00000000-0010-0000-0100-00004B000000}" name="Wk 40 2026" dataDxfId="510"/>
    <tableColumn id="76" xr3:uid="{00000000-0010-0000-0100-00004C000000}" name="Wk 41 2026" dataDxfId="509"/>
    <tableColumn id="77" xr3:uid="{00000000-0010-0000-0100-00004D000000}" name="Wk 42 2026" dataDxfId="508"/>
    <tableColumn id="78" xr3:uid="{00000000-0010-0000-0100-00004E000000}" name="Wk 43 2026" dataDxfId="507"/>
    <tableColumn id="79" xr3:uid="{00000000-0010-0000-0100-00004F000000}" name="Wk 44 2026" dataDxfId="506"/>
    <tableColumn id="80" xr3:uid="{00000000-0010-0000-0100-000050000000}" name="Wk 45 2026" dataDxfId="505"/>
    <tableColumn id="81" xr3:uid="{00000000-0010-0000-0100-000051000000}" name="Wk 46 2026" dataDxfId="504"/>
    <tableColumn id="82" xr3:uid="{00000000-0010-0000-0100-000052000000}" name="Wk 47 2026" dataDxfId="503"/>
    <tableColumn id="83" xr3:uid="{00000000-0010-0000-0100-000053000000}" name="Wk 48 2026" dataDxfId="502"/>
    <tableColumn id="84" xr3:uid="{00000000-0010-0000-0100-000054000000}" name="Wk 49 2026" dataDxfId="501"/>
    <tableColumn id="85" xr3:uid="{00000000-0010-0000-0100-000055000000}" name="Wk 50 2026" dataDxfId="500"/>
    <tableColumn id="86" xr3:uid="{00000000-0010-0000-0100-000056000000}" name="Wk 51 2026" dataDxfId="499"/>
    <tableColumn id="87" xr3:uid="{00000000-0010-0000-0100-000057000000}" name="Wk 52 2026" dataDxfId="4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tualsTransits" displayName="tblActualsTransits" ref="B12:CJ18" totalsRowShown="0">
  <autoFilter ref="B12:CJ18" xr:uid="{00000000-0009-0000-0100-000003000000}"/>
  <tableColumns count="87">
    <tableColumn id="1" xr3:uid="{00000000-0010-0000-0200-000001000000}" name="MP" dataDxfId="497"/>
    <tableColumn id="2" xr3:uid="{00000000-0010-0000-0200-000002000000}" name="Wk19 2025" dataDxfId="496"/>
    <tableColumn id="3" xr3:uid="{00000000-0010-0000-0200-000003000000}" name="Wk20 2025" dataDxfId="495"/>
    <tableColumn id="4" xr3:uid="{00000000-0010-0000-0200-000004000000}" name="Wk21 2025" dataDxfId="494"/>
    <tableColumn id="5" xr3:uid="{00000000-0010-0000-0200-000005000000}" name="Wk22 2025" dataDxfId="493"/>
    <tableColumn id="6" xr3:uid="{00000000-0010-0000-0200-000006000000}" name="Wk23 2025" dataDxfId="492"/>
    <tableColumn id="7" xr3:uid="{00000000-0010-0000-0200-000007000000}" name="Wk24 2025"/>
    <tableColumn id="8" xr3:uid="{00000000-0010-0000-0200-000008000000}" name="Wk25 2025"/>
    <tableColumn id="9" xr3:uid="{00000000-0010-0000-0200-000009000000}" name="Wk26 2025"/>
    <tableColumn id="10" xr3:uid="{00000000-0010-0000-0200-00000A000000}" name="Wk27 2025"/>
    <tableColumn id="11" xr3:uid="{00000000-0010-0000-0200-00000B000000}" name="Wk28 2025"/>
    <tableColumn id="12" xr3:uid="{00000000-0010-0000-0200-00000C000000}" name="Wk29 2025"/>
    <tableColumn id="13" xr3:uid="{00000000-0010-0000-0200-00000D000000}" name="Wk30 2025"/>
    <tableColumn id="14" xr3:uid="{00000000-0010-0000-0200-00000E000000}" name="Wk31 2025"/>
    <tableColumn id="15" xr3:uid="{00000000-0010-0000-0200-00000F000000}" name="Wk32 2025"/>
    <tableColumn id="16" xr3:uid="{00000000-0010-0000-0200-000010000000}" name="Wk33 2025"/>
    <tableColumn id="17" xr3:uid="{00000000-0010-0000-0200-000011000000}" name="Wk34 2025"/>
    <tableColumn id="18" xr3:uid="{00000000-0010-0000-0200-000012000000}" name="Wk35 2025"/>
    <tableColumn id="19" xr3:uid="{00000000-0010-0000-0200-000013000000}" name="Wk36 2025"/>
    <tableColumn id="20" xr3:uid="{00000000-0010-0000-0200-000014000000}" name="Wk37 2025"/>
    <tableColumn id="21" xr3:uid="{00000000-0010-0000-0200-000015000000}" name="Wk38 2025"/>
    <tableColumn id="22" xr3:uid="{00000000-0010-0000-0200-000016000000}" name="Wk39 2025"/>
    <tableColumn id="23" xr3:uid="{00000000-0010-0000-0200-000017000000}" name="Wk40 2025" dataDxfId="491"/>
    <tableColumn id="24" xr3:uid="{00000000-0010-0000-0200-000018000000}" name="Wk41 2025" dataDxfId="490"/>
    <tableColumn id="25" xr3:uid="{00000000-0010-0000-0200-000019000000}" name="Wk42 2025" dataDxfId="489"/>
    <tableColumn id="26" xr3:uid="{00000000-0010-0000-0200-00001A000000}" name="Wk43 2025" dataDxfId="488"/>
    <tableColumn id="27" xr3:uid="{00000000-0010-0000-0200-00001B000000}" name="Wk44 2025" dataDxfId="487"/>
    <tableColumn id="28" xr3:uid="{00000000-0010-0000-0200-00001C000000}" name="Wk45 2025" dataDxfId="486"/>
    <tableColumn id="29" xr3:uid="{00000000-0010-0000-0200-00001D000000}" name="Wk46 2025" dataDxfId="485"/>
    <tableColumn id="30" xr3:uid="{00000000-0010-0000-0200-00001E000000}" name="Wk47 2025" dataDxfId="484"/>
    <tableColumn id="31" xr3:uid="{00000000-0010-0000-0200-00001F000000}" name="Wk48 2025" dataDxfId="483"/>
    <tableColumn id="32" xr3:uid="{00000000-0010-0000-0200-000020000000}" name="Wk49 2025" dataDxfId="482"/>
    <tableColumn id="33" xr3:uid="{00000000-0010-0000-0200-000021000000}" name="Wk50 2025" dataDxfId="481"/>
    <tableColumn id="34" xr3:uid="{00000000-0010-0000-0200-000022000000}" name="Wk51 2025" dataDxfId="480"/>
    <tableColumn id="35" xr3:uid="{00000000-0010-0000-0200-000023000000}" name="Wk52 2025" dataDxfId="479"/>
    <tableColumn id="36" xr3:uid="{00000000-0010-0000-0200-000024000000}" name="Wk 1 2026" dataDxfId="478"/>
    <tableColumn id="37" xr3:uid="{00000000-0010-0000-0200-000025000000}" name="Wk 2 2026" dataDxfId="477"/>
    <tableColumn id="38" xr3:uid="{00000000-0010-0000-0200-000026000000}" name="Wk 3 2026" dataDxfId="476"/>
    <tableColumn id="39" xr3:uid="{00000000-0010-0000-0200-000027000000}" name="Wk 4 2026" dataDxfId="475"/>
    <tableColumn id="40" xr3:uid="{00000000-0010-0000-0200-000028000000}" name="Wk 5 2026" dataDxfId="474"/>
    <tableColumn id="41" xr3:uid="{00000000-0010-0000-0200-000029000000}" name="Wk 6 2026" dataDxfId="2"/>
    <tableColumn id="42" xr3:uid="{00000000-0010-0000-0200-00002A000000}" name="Wk 7 2026" dataDxfId="473"/>
    <tableColumn id="43" xr3:uid="{00000000-0010-0000-0200-00002B000000}" name="Wk 8 2026" dataDxfId="472"/>
    <tableColumn id="44" xr3:uid="{00000000-0010-0000-0200-00002C000000}" name="Wk 9 2026" dataDxfId="471"/>
    <tableColumn id="45" xr3:uid="{00000000-0010-0000-0200-00002D000000}" name="Wk 10 2026" dataDxfId="470"/>
    <tableColumn id="46" xr3:uid="{00000000-0010-0000-0200-00002E000000}" name="Wk 11 2026" dataDxfId="469"/>
    <tableColumn id="47" xr3:uid="{00000000-0010-0000-0200-00002F000000}" name="Wk 12 2026" dataDxfId="468"/>
    <tableColumn id="48" xr3:uid="{00000000-0010-0000-0200-000030000000}" name="Wk 13 2026" dataDxfId="467"/>
    <tableColumn id="49" xr3:uid="{00000000-0010-0000-0200-000031000000}" name="Wk 14 2026" dataDxfId="466"/>
    <tableColumn id="50" xr3:uid="{00000000-0010-0000-0200-000032000000}" name="Wk 15 2026" dataDxfId="465"/>
    <tableColumn id="51" xr3:uid="{00000000-0010-0000-0200-000033000000}" name="Wk 16 2026" dataDxfId="464"/>
    <tableColumn id="52" xr3:uid="{00000000-0010-0000-0200-000034000000}" name="Wk 17 2026" dataDxfId="463"/>
    <tableColumn id="53" xr3:uid="{00000000-0010-0000-0200-000035000000}" name="Wk 18 2026" dataDxfId="462"/>
    <tableColumn id="54" xr3:uid="{00000000-0010-0000-0200-000036000000}" name="Wk 19 2026" dataDxfId="461"/>
    <tableColumn id="55" xr3:uid="{00000000-0010-0000-0200-000037000000}" name="Wk 20 2026" dataDxfId="460"/>
    <tableColumn id="56" xr3:uid="{00000000-0010-0000-0200-000038000000}" name="Wk 21 2026" dataDxfId="459"/>
    <tableColumn id="57" xr3:uid="{00000000-0010-0000-0200-000039000000}" name="Wk 22 2026" dataDxfId="458"/>
    <tableColumn id="58" xr3:uid="{00000000-0010-0000-0200-00003A000000}" name="Wk 23 2026" dataDxfId="457"/>
    <tableColumn id="59" xr3:uid="{00000000-0010-0000-0200-00003B000000}" name="Wk 24 2026" dataDxfId="456"/>
    <tableColumn id="60" xr3:uid="{00000000-0010-0000-0200-00003C000000}" name="Wk 25 2026" dataDxfId="455"/>
    <tableColumn id="61" xr3:uid="{00000000-0010-0000-0200-00003D000000}" name="Wk 26 2026" dataDxfId="454"/>
    <tableColumn id="62" xr3:uid="{00000000-0010-0000-0200-00003E000000}" name="Wk 27 2026" dataDxfId="453"/>
    <tableColumn id="63" xr3:uid="{00000000-0010-0000-0200-00003F000000}" name="Wk 28 2026" dataDxfId="452"/>
    <tableColumn id="64" xr3:uid="{00000000-0010-0000-0200-000040000000}" name="Wk 29 2026" dataDxfId="451"/>
    <tableColumn id="65" xr3:uid="{00000000-0010-0000-0200-000041000000}" name="Wk 30 2026" dataDxfId="450"/>
    <tableColumn id="66" xr3:uid="{00000000-0010-0000-0200-000042000000}" name="Wk 31 2026" dataDxfId="449"/>
    <tableColumn id="67" xr3:uid="{00000000-0010-0000-0200-000043000000}" name="Wk 32 2026" dataDxfId="448"/>
    <tableColumn id="68" xr3:uid="{00000000-0010-0000-0200-000044000000}" name="Wk 33 2026" dataDxfId="447"/>
    <tableColumn id="69" xr3:uid="{00000000-0010-0000-0200-000045000000}" name="Wk 34 2026" dataDxfId="446"/>
    <tableColumn id="70" xr3:uid="{00000000-0010-0000-0200-000046000000}" name="Wk 35 2026" dataDxfId="445"/>
    <tableColumn id="71" xr3:uid="{00000000-0010-0000-0200-000047000000}" name="Wk 36 2026" dataDxfId="444"/>
    <tableColumn id="72" xr3:uid="{00000000-0010-0000-0200-000048000000}" name="Wk 37 2026" dataDxfId="443"/>
    <tableColumn id="73" xr3:uid="{00000000-0010-0000-0200-000049000000}" name="Wk 38 2026" dataDxfId="442"/>
    <tableColumn id="74" xr3:uid="{00000000-0010-0000-0200-00004A000000}" name="Wk 39 2026" dataDxfId="441"/>
    <tableColumn id="75" xr3:uid="{00000000-0010-0000-0200-00004B000000}" name="Wk 40 2026" dataDxfId="440"/>
    <tableColumn id="76" xr3:uid="{00000000-0010-0000-0200-00004C000000}" name="Wk 41 2026" dataDxfId="439"/>
    <tableColumn id="77" xr3:uid="{00000000-0010-0000-0200-00004D000000}" name="Wk 42 2026" dataDxfId="438"/>
    <tableColumn id="78" xr3:uid="{00000000-0010-0000-0200-00004E000000}" name="Wk 43 2026" dataDxfId="437"/>
    <tableColumn id="79" xr3:uid="{00000000-0010-0000-0200-00004F000000}" name="Wk 44 2026" dataDxfId="436"/>
    <tableColumn id="80" xr3:uid="{00000000-0010-0000-0200-000050000000}" name="Wk 45 2026" dataDxfId="435"/>
    <tableColumn id="81" xr3:uid="{00000000-0010-0000-0200-000051000000}" name="Wk 46 2026" dataDxfId="434"/>
    <tableColumn id="82" xr3:uid="{00000000-0010-0000-0200-000052000000}" name="Wk 47 2026" dataDxfId="433"/>
    <tableColumn id="83" xr3:uid="{00000000-0010-0000-0200-000053000000}" name="Wk 48 2026" dataDxfId="432"/>
    <tableColumn id="84" xr3:uid="{00000000-0010-0000-0200-000054000000}" name="Wk 49 2026" dataDxfId="431"/>
    <tableColumn id="85" xr3:uid="{00000000-0010-0000-0200-000055000000}" name="Wk 50 2026" dataDxfId="430"/>
    <tableColumn id="86" xr3:uid="{00000000-0010-0000-0200-000056000000}" name="Wk 51 2026" dataDxfId="429"/>
    <tableColumn id="87" xr3:uid="{00000000-0010-0000-0200-000057000000}" name="Wk 52 2026" dataDxfId="4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ActualsConversion" displayName="tblActualsConversion" ref="B21:CJ27" totalsRowShown="0" headerRowDxfId="427" dataDxfId="426">
  <autoFilter ref="B21:CJ27" xr:uid="{00000000-0009-0000-0100-000004000000}"/>
  <tableColumns count="87">
    <tableColumn id="1" xr3:uid="{00000000-0010-0000-0300-000001000000}" name="MP" dataDxfId="425"/>
    <tableColumn id="2" xr3:uid="{00000000-0010-0000-0300-000002000000}" name="Wk19 2025" dataDxfId="424"/>
    <tableColumn id="3" xr3:uid="{00000000-0010-0000-0300-000003000000}" name="Wk20 2025" dataDxfId="423"/>
    <tableColumn id="4" xr3:uid="{00000000-0010-0000-0300-000004000000}" name="Wk21 2025" dataDxfId="422"/>
    <tableColumn id="5" xr3:uid="{00000000-0010-0000-0300-000005000000}" name="Wk22 2025" dataDxfId="421"/>
    <tableColumn id="6" xr3:uid="{00000000-0010-0000-0300-000006000000}" name="Wk23 2025" dataDxfId="420"/>
    <tableColumn id="7" xr3:uid="{00000000-0010-0000-0300-000007000000}" name="Wk24 2025" dataDxfId="419"/>
    <tableColumn id="8" xr3:uid="{00000000-0010-0000-0300-000008000000}" name="Wk25 2025" dataDxfId="418"/>
    <tableColumn id="9" xr3:uid="{00000000-0010-0000-0300-000009000000}" name="Wk26 2025" dataDxfId="417"/>
    <tableColumn id="10" xr3:uid="{00000000-0010-0000-0300-00000A000000}" name="Wk27 2025" dataDxfId="416"/>
    <tableColumn id="11" xr3:uid="{00000000-0010-0000-0300-00000B000000}" name="Wk28 2025" dataDxfId="415"/>
    <tableColumn id="12" xr3:uid="{00000000-0010-0000-0300-00000C000000}" name="Wk29 2025" dataDxfId="414"/>
    <tableColumn id="13" xr3:uid="{00000000-0010-0000-0300-00000D000000}" name="Wk30 2025" dataDxfId="413"/>
    <tableColumn id="14" xr3:uid="{00000000-0010-0000-0300-00000E000000}" name="Wk31 2025" dataDxfId="412"/>
    <tableColumn id="15" xr3:uid="{00000000-0010-0000-0300-00000F000000}" name="Wk32 2025" dataDxfId="411"/>
    <tableColumn id="16" xr3:uid="{00000000-0010-0000-0300-000010000000}" name="Wk33 2025" dataDxfId="410"/>
    <tableColumn id="17" xr3:uid="{00000000-0010-0000-0300-000011000000}" name="Wk34 2025" dataDxfId="409"/>
    <tableColumn id="18" xr3:uid="{00000000-0010-0000-0300-000012000000}" name="Wk35 2025" dataDxfId="408"/>
    <tableColumn id="19" xr3:uid="{00000000-0010-0000-0300-000013000000}" name="Wk36 2025" dataDxfId="407"/>
    <tableColumn id="20" xr3:uid="{00000000-0010-0000-0300-000014000000}" name="Wk37 2025" dataDxfId="406"/>
    <tableColumn id="21" xr3:uid="{00000000-0010-0000-0300-000015000000}" name="Wk38 2025" dataDxfId="405"/>
    <tableColumn id="22" xr3:uid="{00000000-0010-0000-0300-000016000000}" name="Wk39 2025" dataDxfId="404"/>
    <tableColumn id="23" xr3:uid="{00000000-0010-0000-0300-000017000000}" name="Wk40 2025" dataDxfId="403" dataCellStyle="Percent"/>
    <tableColumn id="24" xr3:uid="{00000000-0010-0000-0300-000018000000}" name="Wk41 2025" dataDxfId="402" dataCellStyle="Percent"/>
    <tableColumn id="25" xr3:uid="{00000000-0010-0000-0300-000019000000}" name="Wk42 2025" dataDxfId="401" dataCellStyle="Percent"/>
    <tableColumn id="26" xr3:uid="{00000000-0010-0000-0300-00001A000000}" name="Wk43 2025" dataDxfId="400" dataCellStyle="Percent"/>
    <tableColumn id="27" xr3:uid="{00000000-0010-0000-0300-00001B000000}" name="Wk44 2025" dataDxfId="399" dataCellStyle="Percent"/>
    <tableColumn id="28" xr3:uid="{00000000-0010-0000-0300-00001C000000}" name="Wk45 2025" dataDxfId="398" dataCellStyle="Percent"/>
    <tableColumn id="29" xr3:uid="{00000000-0010-0000-0300-00001D000000}" name="Wk46 2025" dataDxfId="397" dataCellStyle="Percent"/>
    <tableColumn id="30" xr3:uid="{00000000-0010-0000-0300-00001E000000}" name="Wk47 2025" dataDxfId="396" dataCellStyle="Percent"/>
    <tableColumn id="31" xr3:uid="{00000000-0010-0000-0300-00001F000000}" name="Wk48 2025" dataDxfId="395" dataCellStyle="Percent"/>
    <tableColumn id="32" xr3:uid="{00000000-0010-0000-0300-000020000000}" name="Wk49 2025" dataDxfId="394" dataCellStyle="Percent"/>
    <tableColumn id="33" xr3:uid="{00000000-0010-0000-0300-000021000000}" name="Wk50 2025" dataDxfId="393" dataCellStyle="Percent"/>
    <tableColumn id="34" xr3:uid="{00000000-0010-0000-0300-000022000000}" name="Wk51 2025" dataDxfId="392" dataCellStyle="Percent"/>
    <tableColumn id="35" xr3:uid="{00000000-0010-0000-0300-000023000000}" name="Wk52 2025" dataDxfId="391" dataCellStyle="Percent"/>
    <tableColumn id="36" xr3:uid="{00000000-0010-0000-0300-000024000000}" name="Wk 1 2026" dataDxfId="390" dataCellStyle="Percent"/>
    <tableColumn id="37" xr3:uid="{00000000-0010-0000-0300-000025000000}" name="Wk 2 2026" dataDxfId="389" dataCellStyle="Percent"/>
    <tableColumn id="38" xr3:uid="{00000000-0010-0000-0300-000026000000}" name="Wk 3 2026" dataDxfId="388" dataCellStyle="Percent"/>
    <tableColumn id="39" xr3:uid="{00000000-0010-0000-0300-000027000000}" name="Wk 4 2026" dataDxfId="387" dataCellStyle="Percent"/>
    <tableColumn id="40" xr3:uid="{00000000-0010-0000-0300-000028000000}" name="Wk 5 2026" dataDxfId="386" dataCellStyle="Percent"/>
    <tableColumn id="41" xr3:uid="{00000000-0010-0000-0300-000029000000}" name="Wk 6 2026" dataDxfId="1" dataCellStyle="Percent"/>
    <tableColumn id="42" xr3:uid="{00000000-0010-0000-0300-00002A000000}" name="Wk 7 2026" dataDxfId="385" dataCellStyle="Percent"/>
    <tableColumn id="43" xr3:uid="{00000000-0010-0000-0300-00002B000000}" name="Wk 8 2026" dataDxfId="384" dataCellStyle="Percent"/>
    <tableColumn id="44" xr3:uid="{00000000-0010-0000-0300-00002C000000}" name="Wk 9 2026" dataDxfId="383" dataCellStyle="Percent"/>
    <tableColumn id="45" xr3:uid="{00000000-0010-0000-0300-00002D000000}" name="Wk 10 2026" dataDxfId="382" dataCellStyle="Percent"/>
    <tableColumn id="46" xr3:uid="{00000000-0010-0000-0300-00002E000000}" name="Wk 11 2026" dataDxfId="381" dataCellStyle="Percent"/>
    <tableColumn id="47" xr3:uid="{00000000-0010-0000-0300-00002F000000}" name="Wk 12 2026" dataDxfId="380" dataCellStyle="Percent"/>
    <tableColumn id="48" xr3:uid="{00000000-0010-0000-0300-000030000000}" name="Wk 13 2026" dataDxfId="379" dataCellStyle="Percent"/>
    <tableColumn id="49" xr3:uid="{00000000-0010-0000-0300-000031000000}" name="Wk 14 2026" dataDxfId="378" dataCellStyle="Percent"/>
    <tableColumn id="50" xr3:uid="{00000000-0010-0000-0300-000032000000}" name="Wk 15 2026" dataDxfId="377" dataCellStyle="Percent"/>
    <tableColumn id="51" xr3:uid="{00000000-0010-0000-0300-000033000000}" name="Wk 16 2026" dataDxfId="376" dataCellStyle="Percent"/>
    <tableColumn id="52" xr3:uid="{00000000-0010-0000-0300-000034000000}" name="Wk 17 2026" dataDxfId="375" dataCellStyle="Percent"/>
    <tableColumn id="53" xr3:uid="{00000000-0010-0000-0300-000035000000}" name="Wk 18 2026" dataDxfId="374" dataCellStyle="Percent"/>
    <tableColumn id="54" xr3:uid="{00000000-0010-0000-0300-000036000000}" name="Wk 19 2026" dataDxfId="373" dataCellStyle="Percent"/>
    <tableColumn id="55" xr3:uid="{00000000-0010-0000-0300-000037000000}" name="Wk 20 2026" dataDxfId="372" dataCellStyle="Percent"/>
    <tableColumn id="56" xr3:uid="{00000000-0010-0000-0300-000038000000}" name="Wk 21 2026" dataDxfId="371" dataCellStyle="Percent"/>
    <tableColumn id="57" xr3:uid="{00000000-0010-0000-0300-000039000000}" name="Wk 22 2026" dataDxfId="370" dataCellStyle="Percent"/>
    <tableColumn id="58" xr3:uid="{00000000-0010-0000-0300-00003A000000}" name="Wk 23 2026" dataDxfId="369" dataCellStyle="Percent"/>
    <tableColumn id="59" xr3:uid="{00000000-0010-0000-0300-00003B000000}" name="Wk 24 2026" dataDxfId="368" dataCellStyle="Percent"/>
    <tableColumn id="60" xr3:uid="{00000000-0010-0000-0300-00003C000000}" name="Wk 25 2026" dataDxfId="367" dataCellStyle="Percent"/>
    <tableColumn id="61" xr3:uid="{00000000-0010-0000-0300-00003D000000}" name="Wk 26 2026" dataDxfId="366" dataCellStyle="Percent"/>
    <tableColumn id="62" xr3:uid="{00000000-0010-0000-0300-00003E000000}" name="Wk 27 2026" dataDxfId="365" dataCellStyle="Percent"/>
    <tableColumn id="63" xr3:uid="{00000000-0010-0000-0300-00003F000000}" name="Wk 28 2026" dataDxfId="364" dataCellStyle="Percent"/>
    <tableColumn id="64" xr3:uid="{00000000-0010-0000-0300-000040000000}" name="Wk 29 2026" dataDxfId="363" dataCellStyle="Percent"/>
    <tableColumn id="65" xr3:uid="{00000000-0010-0000-0300-000041000000}" name="Wk 30 2026" dataDxfId="362" dataCellStyle="Percent"/>
    <tableColumn id="66" xr3:uid="{00000000-0010-0000-0300-000042000000}" name="Wk 31 2026" dataDxfId="361" dataCellStyle="Percent"/>
    <tableColumn id="67" xr3:uid="{00000000-0010-0000-0300-000043000000}" name="Wk 32 2026" dataDxfId="360" dataCellStyle="Percent"/>
    <tableColumn id="68" xr3:uid="{00000000-0010-0000-0300-000044000000}" name="Wk 33 2026" dataDxfId="359" dataCellStyle="Percent"/>
    <tableColumn id="69" xr3:uid="{00000000-0010-0000-0300-000045000000}" name="Wk 34 2026" dataDxfId="358" dataCellStyle="Percent"/>
    <tableColumn id="70" xr3:uid="{00000000-0010-0000-0300-000046000000}" name="Wk 35 2026" dataDxfId="357" dataCellStyle="Percent"/>
    <tableColumn id="71" xr3:uid="{00000000-0010-0000-0300-000047000000}" name="Wk 36 2026" dataDxfId="356" dataCellStyle="Percent"/>
    <tableColumn id="72" xr3:uid="{00000000-0010-0000-0300-000048000000}" name="Wk 37 2026" dataDxfId="355" dataCellStyle="Percent"/>
    <tableColumn id="73" xr3:uid="{00000000-0010-0000-0300-000049000000}" name="Wk 38 2026" dataDxfId="354" dataCellStyle="Percent"/>
    <tableColumn id="74" xr3:uid="{00000000-0010-0000-0300-00004A000000}" name="Wk 39 2026" dataDxfId="353" dataCellStyle="Percent"/>
    <tableColumn id="75" xr3:uid="{00000000-0010-0000-0300-00004B000000}" name="Wk 40 2026" dataDxfId="352" dataCellStyle="Percent"/>
    <tableColumn id="76" xr3:uid="{00000000-0010-0000-0300-00004C000000}" name="Wk 41 2026" dataDxfId="351" dataCellStyle="Percent"/>
    <tableColumn id="77" xr3:uid="{00000000-0010-0000-0300-00004D000000}" name="Wk 42 2026" dataDxfId="350" dataCellStyle="Percent"/>
    <tableColumn id="78" xr3:uid="{00000000-0010-0000-0300-00004E000000}" name="Wk 43 2026" dataDxfId="349" dataCellStyle="Percent"/>
    <tableColumn id="79" xr3:uid="{00000000-0010-0000-0300-00004F000000}" name="Wk 44 2026" dataDxfId="348" dataCellStyle="Percent"/>
    <tableColumn id="80" xr3:uid="{00000000-0010-0000-0300-000050000000}" name="Wk 45 2026" dataDxfId="347" dataCellStyle="Percent"/>
    <tableColumn id="81" xr3:uid="{00000000-0010-0000-0300-000051000000}" name="Wk 46 2026" dataDxfId="346" dataCellStyle="Percent"/>
    <tableColumn id="82" xr3:uid="{00000000-0010-0000-0300-000052000000}" name="Wk 47 2026" dataDxfId="345" dataCellStyle="Percent"/>
    <tableColumn id="83" xr3:uid="{00000000-0010-0000-0300-000053000000}" name="Wk 48 2026" dataDxfId="344" dataCellStyle="Percent"/>
    <tableColumn id="84" xr3:uid="{00000000-0010-0000-0300-000054000000}" name="Wk 49 2026" dataDxfId="343" dataCellStyle="Percent"/>
    <tableColumn id="85" xr3:uid="{00000000-0010-0000-0300-000055000000}" name="Wk 50 2026" dataDxfId="342" dataCellStyle="Percent"/>
    <tableColumn id="86" xr3:uid="{00000000-0010-0000-0300-000056000000}" name="Wk 51 2026" dataDxfId="341" dataCellStyle="Percent"/>
    <tableColumn id="87" xr3:uid="{00000000-0010-0000-0300-000057000000}" name="Wk 52 2026" dataDxfId="340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ForecastUnits24" displayName="tblForecastUnits24" ref="B3:CJ9" totalsRowShown="0">
  <autoFilter ref="B3:CJ9" xr:uid="{00000000-0009-0000-0100-000005000000}"/>
  <sortState xmlns:xlrd2="http://schemas.microsoft.com/office/spreadsheetml/2017/richdata2" ref="B4:AK9">
    <sortCondition ref="D3:D9"/>
  </sortState>
  <tableColumns count="87">
    <tableColumn id="1" xr3:uid="{00000000-0010-0000-0400-000001000000}" name="MP"/>
    <tableColumn id="2" xr3:uid="{00000000-0010-0000-0400-000002000000}" name="Wk19 2025" dataDxfId="339"/>
    <tableColumn id="3" xr3:uid="{00000000-0010-0000-0400-000003000000}" name="Wk20 2025" dataDxfId="338"/>
    <tableColumn id="4" xr3:uid="{00000000-0010-0000-0400-000004000000}" name="Wk21 2025" dataDxfId="337"/>
    <tableColumn id="5" xr3:uid="{00000000-0010-0000-0400-000005000000}" name="Wk22 2025" dataDxfId="336"/>
    <tableColumn id="6" xr3:uid="{00000000-0010-0000-0400-000006000000}" name="Wk23 2025" dataDxfId="335"/>
    <tableColumn id="7" xr3:uid="{00000000-0010-0000-0400-000007000000}" name="Wk24 2025" dataDxfId="334"/>
    <tableColumn id="8" xr3:uid="{00000000-0010-0000-0400-000008000000}" name="Wk25 2025" dataDxfId="333"/>
    <tableColumn id="9" xr3:uid="{00000000-0010-0000-0400-000009000000}" name="Wk26 2025" dataDxfId="332"/>
    <tableColumn id="10" xr3:uid="{00000000-0010-0000-0400-00000A000000}" name="Wk27 2025" dataDxfId="331"/>
    <tableColumn id="11" xr3:uid="{00000000-0010-0000-0400-00000B000000}" name="Wk28 2025" dataDxfId="330"/>
    <tableColumn id="12" xr3:uid="{00000000-0010-0000-0400-00000C000000}" name="Wk29 2025" dataDxfId="329"/>
    <tableColumn id="13" xr3:uid="{00000000-0010-0000-0400-00000D000000}" name="Wk30 2025" dataDxfId="328"/>
    <tableColumn id="14" xr3:uid="{00000000-0010-0000-0400-00000E000000}" name="Wk31 2025" dataDxfId="327"/>
    <tableColumn id="15" xr3:uid="{00000000-0010-0000-0400-00000F000000}" name="Wk32 2025" dataDxfId="326"/>
    <tableColumn id="16" xr3:uid="{00000000-0010-0000-0400-000010000000}" name="Wk33 2025" dataDxfId="325"/>
    <tableColumn id="17" xr3:uid="{00000000-0010-0000-0400-000011000000}" name="Wk34 2025" dataDxfId="324"/>
    <tableColumn id="18" xr3:uid="{00000000-0010-0000-0400-000012000000}" name="Wk35 2025" dataDxfId="323"/>
    <tableColumn id="19" xr3:uid="{00000000-0010-0000-0400-000013000000}" name="Wk36 2025" dataDxfId="322"/>
    <tableColumn id="20" xr3:uid="{00000000-0010-0000-0400-000014000000}" name="Wk37 2025" dataDxfId="321"/>
    <tableColumn id="21" xr3:uid="{00000000-0010-0000-0400-000015000000}" name="Wk38 2025" dataDxfId="320"/>
    <tableColumn id="22" xr3:uid="{00000000-0010-0000-0400-000016000000}" name="Wk39 2025" dataDxfId="319"/>
    <tableColumn id="23" xr3:uid="{00000000-0010-0000-0400-000017000000}" name="Wk40 2025" dataDxfId="318"/>
    <tableColumn id="24" xr3:uid="{00000000-0010-0000-0400-000018000000}" name="Wk41 2025" dataDxfId="317"/>
    <tableColumn id="25" xr3:uid="{00000000-0010-0000-0400-000019000000}" name="Wk42 2025" dataDxfId="316"/>
    <tableColumn id="26" xr3:uid="{00000000-0010-0000-0400-00001A000000}" name="Wk43 2025" dataDxfId="315"/>
    <tableColumn id="27" xr3:uid="{00000000-0010-0000-0400-00001B000000}" name="Wk44 2025" dataDxfId="314"/>
    <tableColumn id="28" xr3:uid="{00000000-0010-0000-0400-00001C000000}" name="Wk45 2025" dataDxfId="313"/>
    <tableColumn id="29" xr3:uid="{00000000-0010-0000-0400-00001D000000}" name="Wk46 2025" dataDxfId="312"/>
    <tableColumn id="30" xr3:uid="{00000000-0010-0000-0400-00001E000000}" name="Wk47 2025" dataDxfId="311"/>
    <tableColumn id="31" xr3:uid="{00000000-0010-0000-0400-00001F000000}" name="Wk48 2025" dataDxfId="310"/>
    <tableColumn id="32" xr3:uid="{00000000-0010-0000-0400-000020000000}" name="Wk49 2025" dataDxfId="309"/>
    <tableColumn id="33" xr3:uid="{00000000-0010-0000-0400-000021000000}" name="Wk50 2025" dataDxfId="308"/>
    <tableColumn id="34" xr3:uid="{00000000-0010-0000-0400-000022000000}" name="Wk51 2025" dataDxfId="307"/>
    <tableColumn id="35" xr3:uid="{00000000-0010-0000-0400-000023000000}" name="Wk52 2025" dataDxfId="306"/>
    <tableColumn id="36" xr3:uid="{00000000-0010-0000-0400-000024000000}" name="Wk 1 2026" dataDxfId="305">
      <calculatedColumnFormula>AK15*AK26*AK37</calculatedColumnFormula>
    </tableColumn>
    <tableColumn id="37" xr3:uid="{00000000-0010-0000-0400-000025000000}" name="Wk 2 2026" dataDxfId="304">
      <calculatedColumnFormula>AL15*AL26*AL37</calculatedColumnFormula>
    </tableColumn>
    <tableColumn id="38" xr3:uid="{00000000-0010-0000-0400-000026000000}" name="Wk 3 2026" dataDxfId="303">
      <calculatedColumnFormula>AM15*AM26*AM37</calculatedColumnFormula>
    </tableColumn>
    <tableColumn id="39" xr3:uid="{00000000-0010-0000-0400-000027000000}" name="Wk 4 2026" dataDxfId="302">
      <calculatedColumnFormula>AN15*AN26*AN37</calculatedColumnFormula>
    </tableColumn>
    <tableColumn id="40" xr3:uid="{00000000-0010-0000-0400-000028000000}" name="Wk 5 2026" dataDxfId="301">
      <calculatedColumnFormula>AO15*AO26*AO37</calculatedColumnFormula>
    </tableColumn>
    <tableColumn id="41" xr3:uid="{00000000-0010-0000-0400-000029000000}" name="Wk 6 2026" dataDxfId="300">
      <calculatedColumnFormula>AP15*AP26*AP37</calculatedColumnFormula>
    </tableColumn>
    <tableColumn id="42" xr3:uid="{00000000-0010-0000-0400-00002A000000}" name="Wk 7 2026" dataDxfId="299">
      <calculatedColumnFormula>AQ15*AQ26*AQ37</calculatedColumnFormula>
    </tableColumn>
    <tableColumn id="43" xr3:uid="{00000000-0010-0000-0400-00002B000000}" name="Wk 8 2026" dataDxfId="298">
      <calculatedColumnFormula>AR15*AR26*AR37</calculatedColumnFormula>
    </tableColumn>
    <tableColumn id="44" xr3:uid="{00000000-0010-0000-0400-00002C000000}" name="Wk 9 2026" dataDxfId="297">
      <calculatedColumnFormula>AS15*AS26*AS37</calculatedColumnFormula>
    </tableColumn>
    <tableColumn id="45" xr3:uid="{00000000-0010-0000-0400-00002D000000}" name="Wk 10 2026" dataDxfId="296">
      <calculatedColumnFormula>AT15*AT26*AT37</calculatedColumnFormula>
    </tableColumn>
    <tableColumn id="46" xr3:uid="{00000000-0010-0000-0400-00002E000000}" name="Wk 11 2026" dataDxfId="295"/>
    <tableColumn id="47" xr3:uid="{00000000-0010-0000-0400-00002F000000}" name="Wk 12 2026" dataDxfId="294"/>
    <tableColumn id="48" xr3:uid="{00000000-0010-0000-0400-000030000000}" name="Wk 13 2026" dataDxfId="293"/>
    <tableColumn id="49" xr3:uid="{00000000-0010-0000-0400-000031000000}" name="Wk 14 2026" dataDxfId="292"/>
    <tableColumn id="50" xr3:uid="{00000000-0010-0000-0400-000032000000}" name="Wk 15 2026" dataDxfId="291"/>
    <tableColumn id="51" xr3:uid="{00000000-0010-0000-0400-000033000000}" name="Wk 16 2026" dataDxfId="290"/>
    <tableColumn id="52" xr3:uid="{00000000-0010-0000-0400-000034000000}" name="Wk 17 2026" dataDxfId="289"/>
    <tableColumn id="53" xr3:uid="{00000000-0010-0000-0400-000035000000}" name="Wk 18 2026" dataDxfId="288"/>
    <tableColumn id="54" xr3:uid="{00000000-0010-0000-0400-000036000000}" name="Wk 19 2026" dataDxfId="287"/>
    <tableColumn id="55" xr3:uid="{00000000-0010-0000-0400-000037000000}" name="Wk 20 2026" dataDxfId="286"/>
    <tableColumn id="56" xr3:uid="{00000000-0010-0000-0400-000038000000}" name="Wk 21 2026" dataDxfId="285"/>
    <tableColumn id="57" xr3:uid="{00000000-0010-0000-0400-000039000000}" name="Wk 22 2026" dataDxfId="284"/>
    <tableColumn id="58" xr3:uid="{00000000-0010-0000-0400-00003A000000}" name="Wk 23 2026" dataDxfId="283"/>
    <tableColumn id="59" xr3:uid="{00000000-0010-0000-0400-00003B000000}" name="Wk 24 2026" dataDxfId="282"/>
    <tableColumn id="60" xr3:uid="{00000000-0010-0000-0400-00003C000000}" name="Wk 25 2026" dataDxfId="281"/>
    <tableColumn id="61" xr3:uid="{00000000-0010-0000-0400-00003D000000}" name="Wk 26 2026" dataDxfId="280"/>
    <tableColumn id="62" xr3:uid="{00000000-0010-0000-0400-00003E000000}" name="Wk 27 2026" dataDxfId="279"/>
    <tableColumn id="63" xr3:uid="{00000000-0010-0000-0400-00003F000000}" name="Wk 28 2026" dataDxfId="278"/>
    <tableColumn id="64" xr3:uid="{00000000-0010-0000-0400-000040000000}" name="Wk 29 2026" dataDxfId="277"/>
    <tableColumn id="65" xr3:uid="{00000000-0010-0000-0400-000041000000}" name="Wk 30 2026" dataDxfId="276"/>
    <tableColumn id="66" xr3:uid="{00000000-0010-0000-0400-000042000000}" name="Wk 31 2026" dataDxfId="275"/>
    <tableColumn id="67" xr3:uid="{00000000-0010-0000-0400-000043000000}" name="Wk 32 2026" dataDxfId="274"/>
    <tableColumn id="68" xr3:uid="{00000000-0010-0000-0400-000044000000}" name="Wk 33 2026" dataDxfId="273"/>
    <tableColumn id="69" xr3:uid="{00000000-0010-0000-0400-000045000000}" name="Wk 34 2026" dataDxfId="272"/>
    <tableColumn id="70" xr3:uid="{00000000-0010-0000-0400-000046000000}" name="Wk 35 2026" dataDxfId="271"/>
    <tableColumn id="71" xr3:uid="{00000000-0010-0000-0400-000047000000}" name="Wk 36 2026" dataDxfId="270"/>
    <tableColumn id="72" xr3:uid="{00000000-0010-0000-0400-000048000000}" name="Wk 37 2026" dataDxfId="269"/>
    <tableColumn id="73" xr3:uid="{00000000-0010-0000-0400-000049000000}" name="Wk 38 2026" dataDxfId="268"/>
    <tableColumn id="74" xr3:uid="{00000000-0010-0000-0400-00004A000000}" name="Wk 39 2026" dataDxfId="267"/>
    <tableColumn id="75" xr3:uid="{00000000-0010-0000-0400-00004B000000}" name="Wk 40 2026" dataDxfId="266"/>
    <tableColumn id="76" xr3:uid="{00000000-0010-0000-0400-00004C000000}" name="Wk 41 2026" dataDxfId="265"/>
    <tableColumn id="77" xr3:uid="{00000000-0010-0000-0400-00004D000000}" name="Wk 42 2026" dataDxfId="264"/>
    <tableColumn id="78" xr3:uid="{00000000-0010-0000-0400-00004E000000}" name="Wk 43 2026" dataDxfId="263"/>
    <tableColumn id="79" xr3:uid="{00000000-0010-0000-0400-00004F000000}" name="Wk 44 2026" dataDxfId="262"/>
    <tableColumn id="80" xr3:uid="{00000000-0010-0000-0400-000050000000}" name="Wk 45 2026" dataDxfId="261"/>
    <tableColumn id="81" xr3:uid="{00000000-0010-0000-0400-000051000000}" name="Wk 46 2026" dataDxfId="260"/>
    <tableColumn id="82" xr3:uid="{00000000-0010-0000-0400-000052000000}" name="Wk 47 2026" dataDxfId="259"/>
    <tableColumn id="83" xr3:uid="{00000000-0010-0000-0400-000053000000}" name="Wk 48 2026" dataDxfId="258"/>
    <tableColumn id="84" xr3:uid="{00000000-0010-0000-0400-000054000000}" name="Wk 49 2026" dataDxfId="257"/>
    <tableColumn id="85" xr3:uid="{00000000-0010-0000-0400-000055000000}" name="Wk 50 2026" dataDxfId="256"/>
    <tableColumn id="86" xr3:uid="{00000000-0010-0000-0400-000056000000}" name="Wk 51 2026" dataDxfId="255"/>
    <tableColumn id="87" xr3:uid="{00000000-0010-0000-0400-000057000000}" name="Wk 52 2026" dataDxfId="25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ForecastTransits25" displayName="tblForecastTransits25" ref="B14:CJ20" totalsRowShown="0" headerRowDxfId="253" dataDxfId="251" headerRowBorderDxfId="252" tableBorderDxfId="250">
  <autoFilter ref="B14:CJ20" xr:uid="{00000000-0009-0000-0100-000006000000}"/>
  <tableColumns count="87">
    <tableColumn id="1" xr3:uid="{00000000-0010-0000-0500-000001000000}" name="MP"/>
    <tableColumn id="2" xr3:uid="{00000000-0010-0000-0500-000002000000}" name="Wk19 2025" dataDxfId="249"/>
    <tableColumn id="3" xr3:uid="{00000000-0010-0000-0500-000003000000}" name="Wk20 2025" dataDxfId="248"/>
    <tableColumn id="4" xr3:uid="{00000000-0010-0000-0500-000004000000}" name="Wk21 2025" dataDxfId="247"/>
    <tableColumn id="5" xr3:uid="{00000000-0010-0000-0500-000005000000}" name="Wk22 2025" dataDxfId="246"/>
    <tableColumn id="6" xr3:uid="{00000000-0010-0000-0500-000006000000}" name="Wk23 2025" dataDxfId="245"/>
    <tableColumn id="7" xr3:uid="{00000000-0010-0000-0500-000007000000}" name="Wk24 2025" dataDxfId="244"/>
    <tableColumn id="8" xr3:uid="{00000000-0010-0000-0500-000008000000}" name="Wk25 2025" dataDxfId="243"/>
    <tableColumn id="9" xr3:uid="{00000000-0010-0000-0500-000009000000}" name="Wk26 2025" dataDxfId="242"/>
    <tableColumn id="10" xr3:uid="{00000000-0010-0000-0500-00000A000000}" name="Wk27 2025" dataDxfId="241"/>
    <tableColumn id="11" xr3:uid="{00000000-0010-0000-0500-00000B000000}" name="Wk28 2025" dataDxfId="240"/>
    <tableColumn id="12" xr3:uid="{00000000-0010-0000-0500-00000C000000}" name="Wk29 2025" dataDxfId="239"/>
    <tableColumn id="13" xr3:uid="{00000000-0010-0000-0500-00000D000000}" name="Wk30 2025" dataDxfId="238"/>
    <tableColumn id="14" xr3:uid="{00000000-0010-0000-0500-00000E000000}" name="Wk31 2025" dataDxfId="237"/>
    <tableColumn id="15" xr3:uid="{00000000-0010-0000-0500-00000F000000}" name="Wk32 2025" dataDxfId="236"/>
    <tableColumn id="16" xr3:uid="{00000000-0010-0000-0500-000010000000}" name="Wk33 2025" dataDxfId="235"/>
    <tableColumn id="17" xr3:uid="{00000000-0010-0000-0500-000011000000}" name="Wk34 2025" dataDxfId="234"/>
    <tableColumn id="18" xr3:uid="{00000000-0010-0000-0500-000012000000}" name="Wk35 2025" dataDxfId="233"/>
    <tableColumn id="19" xr3:uid="{00000000-0010-0000-0500-000013000000}" name="Wk36 2025" dataDxfId="232"/>
    <tableColumn id="20" xr3:uid="{00000000-0010-0000-0500-000014000000}" name="Wk37 2025" dataDxfId="231"/>
    <tableColumn id="21" xr3:uid="{00000000-0010-0000-0500-000015000000}" name="Wk38 2025" dataDxfId="230"/>
    <tableColumn id="22" xr3:uid="{00000000-0010-0000-0500-000016000000}" name="Wk39 2025" dataDxfId="229"/>
    <tableColumn id="23" xr3:uid="{00000000-0010-0000-0500-000017000000}" name="Wk40 2025" dataDxfId="228"/>
    <tableColumn id="24" xr3:uid="{00000000-0010-0000-0500-000018000000}" name="Wk41 2025" dataDxfId="227"/>
    <tableColumn id="25" xr3:uid="{00000000-0010-0000-0500-000019000000}" name="Wk42 2025" dataDxfId="226"/>
    <tableColumn id="26" xr3:uid="{00000000-0010-0000-0500-00001A000000}" name="Wk43 2025" dataDxfId="225"/>
    <tableColumn id="27" xr3:uid="{00000000-0010-0000-0500-00001B000000}" name="Wk44 2025" dataDxfId="224"/>
    <tableColumn id="28" xr3:uid="{00000000-0010-0000-0500-00001C000000}" name="Wk45 2025" dataDxfId="223"/>
    <tableColumn id="29" xr3:uid="{00000000-0010-0000-0500-00001D000000}" name="Wk46 2025" dataDxfId="222"/>
    <tableColumn id="30" xr3:uid="{00000000-0010-0000-0500-00001E000000}" name="Wk47 2025" dataDxfId="221"/>
    <tableColumn id="31" xr3:uid="{00000000-0010-0000-0500-00001F000000}" name="Wk48 2025" dataDxfId="220"/>
    <tableColumn id="32" xr3:uid="{00000000-0010-0000-0500-000020000000}" name="Wk49 2025" dataDxfId="219"/>
    <tableColumn id="33" xr3:uid="{00000000-0010-0000-0500-000021000000}" name="Wk50 2025" dataDxfId="218"/>
    <tableColumn id="34" xr3:uid="{00000000-0010-0000-0500-000022000000}" name="Wk51 2025" dataDxfId="217"/>
    <tableColumn id="35" xr3:uid="{00000000-0010-0000-0500-000023000000}" name="Wk52 2025" dataDxfId="216"/>
    <tableColumn id="36" xr3:uid="{00000000-0010-0000-0500-000024000000}" name="Wk 1 2026" dataDxfId="215"/>
    <tableColumn id="37" xr3:uid="{00000000-0010-0000-0500-000025000000}" name="Wk 2 2026" dataDxfId="214"/>
    <tableColumn id="38" xr3:uid="{00000000-0010-0000-0500-000026000000}" name="Wk 3 2026" dataDxfId="213"/>
    <tableColumn id="39" xr3:uid="{00000000-0010-0000-0500-000027000000}" name="Wk 4 2026" dataDxfId="212"/>
    <tableColumn id="40" xr3:uid="{00000000-0010-0000-0500-000028000000}" name="Wk 5 2026" dataDxfId="211"/>
    <tableColumn id="41" xr3:uid="{00000000-0010-0000-0500-000029000000}" name="Wk 6 2026" dataDxfId="210"/>
    <tableColumn id="42" xr3:uid="{00000000-0010-0000-0500-00002A000000}" name="Wk 7 2026" dataDxfId="209"/>
    <tableColumn id="43" xr3:uid="{00000000-0010-0000-0500-00002B000000}" name="Wk 8 2026" dataDxfId="208"/>
    <tableColumn id="44" xr3:uid="{00000000-0010-0000-0500-00002C000000}" name="Wk 9 2026" dataDxfId="207"/>
    <tableColumn id="45" xr3:uid="{00000000-0010-0000-0500-00002D000000}" name="Wk 10 2026" dataDxfId="206"/>
    <tableColumn id="46" xr3:uid="{00000000-0010-0000-0500-00002E000000}" name="Wk 11 2026" dataDxfId="205"/>
    <tableColumn id="47" xr3:uid="{00000000-0010-0000-0500-00002F000000}" name="Wk 12 2026" dataDxfId="204"/>
    <tableColumn id="48" xr3:uid="{00000000-0010-0000-0500-000030000000}" name="Wk 13 2026" dataDxfId="203"/>
    <tableColumn id="49" xr3:uid="{00000000-0010-0000-0500-000031000000}" name="Wk 14 2026" dataDxfId="202"/>
    <tableColumn id="50" xr3:uid="{00000000-0010-0000-0500-000032000000}" name="Wk 15 2026" dataDxfId="201"/>
    <tableColumn id="51" xr3:uid="{00000000-0010-0000-0500-000033000000}" name="Wk 16 2026" dataDxfId="200"/>
    <tableColumn id="52" xr3:uid="{00000000-0010-0000-0500-000034000000}" name="Wk 17 2026" dataDxfId="199"/>
    <tableColumn id="53" xr3:uid="{00000000-0010-0000-0500-000035000000}" name="Wk 18 2026" dataDxfId="198"/>
    <tableColumn id="54" xr3:uid="{00000000-0010-0000-0500-000036000000}" name="Wk 19 2026" dataDxfId="197"/>
    <tableColumn id="55" xr3:uid="{00000000-0010-0000-0500-000037000000}" name="Wk 20 2026" dataDxfId="196"/>
    <tableColumn id="56" xr3:uid="{00000000-0010-0000-0500-000038000000}" name="Wk 21 2026" dataDxfId="195"/>
    <tableColumn id="57" xr3:uid="{00000000-0010-0000-0500-000039000000}" name="Wk 22 2026" dataDxfId="194"/>
    <tableColumn id="58" xr3:uid="{00000000-0010-0000-0500-00003A000000}" name="Wk 23 2026" dataDxfId="193"/>
    <tableColumn id="59" xr3:uid="{00000000-0010-0000-0500-00003B000000}" name="Wk 24 2026" dataDxfId="192"/>
    <tableColumn id="60" xr3:uid="{00000000-0010-0000-0500-00003C000000}" name="Wk 25 2026" dataDxfId="191"/>
    <tableColumn id="61" xr3:uid="{00000000-0010-0000-0500-00003D000000}" name="Wk 26 2026" dataDxfId="190"/>
    <tableColumn id="62" xr3:uid="{00000000-0010-0000-0500-00003E000000}" name="Wk 27 2026" dataDxfId="189"/>
    <tableColumn id="63" xr3:uid="{00000000-0010-0000-0500-00003F000000}" name="Wk 28 2026" dataDxfId="188"/>
    <tableColumn id="64" xr3:uid="{00000000-0010-0000-0500-000040000000}" name="Wk 29 2026" dataDxfId="187"/>
    <tableColumn id="65" xr3:uid="{00000000-0010-0000-0500-000041000000}" name="Wk 30 2026" dataDxfId="186"/>
    <tableColumn id="66" xr3:uid="{00000000-0010-0000-0500-000042000000}" name="Wk 31 2026" dataDxfId="185"/>
    <tableColumn id="67" xr3:uid="{00000000-0010-0000-0500-000043000000}" name="Wk 32 2026" dataDxfId="184"/>
    <tableColumn id="68" xr3:uid="{00000000-0010-0000-0500-000044000000}" name="Wk 33 2026" dataDxfId="183"/>
    <tableColumn id="69" xr3:uid="{00000000-0010-0000-0500-000045000000}" name="Wk 34 2026" dataDxfId="182"/>
    <tableColumn id="70" xr3:uid="{00000000-0010-0000-0500-000046000000}" name="Wk 35 2026" dataDxfId="181"/>
    <tableColumn id="71" xr3:uid="{00000000-0010-0000-0500-000047000000}" name="Wk 36 2026" dataDxfId="180"/>
    <tableColumn id="72" xr3:uid="{00000000-0010-0000-0500-000048000000}" name="Wk 37 2026" dataDxfId="179"/>
    <tableColumn id="73" xr3:uid="{00000000-0010-0000-0500-000049000000}" name="Wk 38 2026" dataDxfId="178"/>
    <tableColumn id="74" xr3:uid="{00000000-0010-0000-0500-00004A000000}" name="Wk 39 2026" dataDxfId="177"/>
    <tableColumn id="75" xr3:uid="{00000000-0010-0000-0500-00004B000000}" name="Wk 40 2026" dataDxfId="176"/>
    <tableColumn id="76" xr3:uid="{00000000-0010-0000-0500-00004C000000}" name="Wk 41 2026" dataDxfId="175"/>
    <tableColumn id="77" xr3:uid="{00000000-0010-0000-0500-00004D000000}" name="Wk 42 2026" dataDxfId="174"/>
    <tableColumn id="78" xr3:uid="{00000000-0010-0000-0500-00004E000000}" name="Wk 43 2026" dataDxfId="173"/>
    <tableColumn id="79" xr3:uid="{00000000-0010-0000-0500-00004F000000}" name="Wk 44 2026" dataDxfId="172"/>
    <tableColumn id="80" xr3:uid="{00000000-0010-0000-0500-000050000000}" name="Wk 45 2026" dataDxfId="171"/>
    <tableColumn id="81" xr3:uid="{00000000-0010-0000-0500-000051000000}" name="Wk 46 2026" dataDxfId="170"/>
    <tableColumn id="82" xr3:uid="{00000000-0010-0000-0500-000052000000}" name="Wk 47 2026" dataDxfId="169"/>
    <tableColumn id="83" xr3:uid="{00000000-0010-0000-0500-000053000000}" name="Wk 48 2026" dataDxfId="168"/>
    <tableColumn id="84" xr3:uid="{00000000-0010-0000-0500-000054000000}" name="Wk 49 2026" dataDxfId="167"/>
    <tableColumn id="85" xr3:uid="{00000000-0010-0000-0500-000055000000}" name="Wk 50 2026" dataDxfId="166"/>
    <tableColumn id="86" xr3:uid="{00000000-0010-0000-0500-000056000000}" name="Wk 51 2026" dataDxfId="165"/>
    <tableColumn id="87" xr3:uid="{00000000-0010-0000-0500-000057000000}" name="Wk 52 2026" dataDxfId="16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ForecastConversion26" displayName="tblForecastConversion26" ref="B25:CJ31" totalsRowShown="0" headerRowDxfId="163" headerRowBorderDxfId="162" tableBorderDxfId="161">
  <autoFilter ref="B25:CJ31" xr:uid="{00000000-0009-0000-0100-000007000000}"/>
  <tableColumns count="87">
    <tableColumn id="1" xr3:uid="{00000000-0010-0000-0600-000001000000}" name="MP"/>
    <tableColumn id="2" xr3:uid="{00000000-0010-0000-0600-000002000000}" name="Wk19 2025" dataDxfId="160"/>
    <tableColumn id="3" xr3:uid="{00000000-0010-0000-0600-000003000000}" name="Wk20 2025" dataDxfId="159"/>
    <tableColumn id="4" xr3:uid="{00000000-0010-0000-0600-000004000000}" name="Wk21 2025" dataDxfId="158"/>
    <tableColumn id="5" xr3:uid="{00000000-0010-0000-0600-000005000000}" name="Wk22 2025" dataDxfId="157"/>
    <tableColumn id="6" xr3:uid="{00000000-0010-0000-0600-000006000000}" name="Wk23 2025" dataDxfId="156"/>
    <tableColumn id="7" xr3:uid="{00000000-0010-0000-0600-000007000000}" name="Wk24 2025" dataDxfId="155"/>
    <tableColumn id="8" xr3:uid="{00000000-0010-0000-0600-000008000000}" name="Wk25 2025" dataDxfId="154"/>
    <tableColumn id="9" xr3:uid="{00000000-0010-0000-0600-000009000000}" name="Wk26 2025" dataDxfId="153"/>
    <tableColumn id="10" xr3:uid="{00000000-0010-0000-0600-00000A000000}" name="Wk27 2025" dataDxfId="152"/>
    <tableColumn id="11" xr3:uid="{00000000-0010-0000-0600-00000B000000}" name="Wk28 2025" dataDxfId="151"/>
    <tableColumn id="12" xr3:uid="{00000000-0010-0000-0600-00000C000000}" name="Wk29 2025" dataDxfId="150"/>
    <tableColumn id="13" xr3:uid="{00000000-0010-0000-0600-00000D000000}" name="Wk30 2025" dataDxfId="149"/>
    <tableColumn id="14" xr3:uid="{00000000-0010-0000-0600-00000E000000}" name="Wk31 2025" dataDxfId="148"/>
    <tableColumn id="15" xr3:uid="{00000000-0010-0000-0600-00000F000000}" name="Wk32 2025" dataDxfId="147"/>
    <tableColumn id="16" xr3:uid="{00000000-0010-0000-0600-000010000000}" name="Wk33 2025" dataDxfId="146"/>
    <tableColumn id="17" xr3:uid="{00000000-0010-0000-0600-000011000000}" name="Wk34 2025" dataDxfId="145"/>
    <tableColumn id="18" xr3:uid="{00000000-0010-0000-0600-000012000000}" name="Wk35 2025" dataDxfId="144"/>
    <tableColumn id="19" xr3:uid="{00000000-0010-0000-0600-000013000000}" name="Wk36 2025" dataDxfId="143"/>
    <tableColumn id="20" xr3:uid="{00000000-0010-0000-0600-000014000000}" name="Wk37 2025" dataDxfId="142"/>
    <tableColumn id="21" xr3:uid="{00000000-0010-0000-0600-000015000000}" name="Wk38 2025" dataDxfId="141"/>
    <tableColumn id="22" xr3:uid="{00000000-0010-0000-0600-000016000000}" name="Wk39 2025" dataDxfId="140"/>
    <tableColumn id="23" xr3:uid="{00000000-0010-0000-0600-000017000000}" name="Wk40 2025" dataDxfId="139"/>
    <tableColumn id="24" xr3:uid="{00000000-0010-0000-0600-000018000000}" name="Wk41 2025" dataDxfId="138"/>
    <tableColumn id="25" xr3:uid="{00000000-0010-0000-0600-000019000000}" name="Wk42 2025" dataDxfId="137"/>
    <tableColumn id="26" xr3:uid="{00000000-0010-0000-0600-00001A000000}" name="Wk43 2025" dataDxfId="136"/>
    <tableColumn id="27" xr3:uid="{00000000-0010-0000-0600-00001B000000}" name="Wk44 2025" dataDxfId="135"/>
    <tableColumn id="28" xr3:uid="{00000000-0010-0000-0600-00001C000000}" name="Wk45 2025" dataDxfId="134"/>
    <tableColumn id="29" xr3:uid="{00000000-0010-0000-0600-00001D000000}" name="Wk46 2025" dataDxfId="133"/>
    <tableColumn id="30" xr3:uid="{00000000-0010-0000-0600-00001E000000}" name="Wk47 2025" dataDxfId="132"/>
    <tableColumn id="31" xr3:uid="{00000000-0010-0000-0600-00001F000000}" name="Wk48 2025" dataDxfId="131"/>
    <tableColumn id="32" xr3:uid="{00000000-0010-0000-0600-000020000000}" name="Wk49 2025" dataDxfId="130"/>
    <tableColumn id="33" xr3:uid="{00000000-0010-0000-0600-000021000000}" name="Wk50 2025" dataDxfId="129"/>
    <tableColumn id="34" xr3:uid="{00000000-0010-0000-0600-000022000000}" name="Wk51 2025" dataDxfId="128"/>
    <tableColumn id="35" xr3:uid="{00000000-0010-0000-0600-000023000000}" name="Wk52 2025" dataDxfId="127"/>
    <tableColumn id="36" xr3:uid="{00000000-0010-0000-0600-000024000000}" name="Wk 1 2026" dataDxfId="126"/>
    <tableColumn id="37" xr3:uid="{00000000-0010-0000-0600-000025000000}" name="Wk 2 2026" dataDxfId="125"/>
    <tableColumn id="38" xr3:uid="{00000000-0010-0000-0600-000026000000}" name="Wk 3 2026" dataDxfId="124"/>
    <tableColumn id="39" xr3:uid="{00000000-0010-0000-0600-000027000000}" name="Wk 4 2026" dataDxfId="123"/>
    <tableColumn id="40" xr3:uid="{00000000-0010-0000-0600-000028000000}" name="Wk 5 2026" dataDxfId="122"/>
    <tableColumn id="41" xr3:uid="{00000000-0010-0000-0600-000029000000}" name="Wk 6 2026" dataDxfId="121"/>
    <tableColumn id="42" xr3:uid="{00000000-0010-0000-0600-00002A000000}" name="Wk 7 2026" dataDxfId="120"/>
    <tableColumn id="43" xr3:uid="{00000000-0010-0000-0600-00002B000000}" name="Wk 8 2026" dataDxfId="119"/>
    <tableColumn id="44" xr3:uid="{00000000-0010-0000-0600-00002C000000}" name="Wk 9 2026" dataDxfId="118"/>
    <tableColumn id="45" xr3:uid="{00000000-0010-0000-0600-00002D000000}" name="Wk 10 2026" dataDxfId="117"/>
    <tableColumn id="46" xr3:uid="{00000000-0010-0000-0600-00002E000000}" name="Wk 11 2026" dataDxfId="116"/>
    <tableColumn id="47" xr3:uid="{00000000-0010-0000-0600-00002F000000}" name="Wk 12 2026" dataDxfId="115"/>
    <tableColumn id="48" xr3:uid="{00000000-0010-0000-0600-000030000000}" name="Wk 13 2026" dataDxfId="114"/>
    <tableColumn id="49" xr3:uid="{00000000-0010-0000-0600-000031000000}" name="Wk 14 2026" dataDxfId="113"/>
    <tableColumn id="50" xr3:uid="{00000000-0010-0000-0600-000032000000}" name="Wk 15 2026" dataDxfId="112"/>
    <tableColumn id="51" xr3:uid="{00000000-0010-0000-0600-000033000000}" name="Wk 16 2026" dataDxfId="111"/>
    <tableColumn id="52" xr3:uid="{00000000-0010-0000-0600-000034000000}" name="Wk 17 2026" dataDxfId="110"/>
    <tableColumn id="53" xr3:uid="{00000000-0010-0000-0600-000035000000}" name="Wk 18 2026" dataDxfId="109"/>
    <tableColumn id="54" xr3:uid="{00000000-0010-0000-0600-000036000000}" name="Wk 19 2026" dataDxfId="108"/>
    <tableColumn id="55" xr3:uid="{00000000-0010-0000-0600-000037000000}" name="Wk 20 2026" dataDxfId="107"/>
    <tableColumn id="56" xr3:uid="{00000000-0010-0000-0600-000038000000}" name="Wk 21 2026" dataDxfId="106"/>
    <tableColumn id="57" xr3:uid="{00000000-0010-0000-0600-000039000000}" name="Wk 22 2026" dataDxfId="105"/>
    <tableColumn id="58" xr3:uid="{00000000-0010-0000-0600-00003A000000}" name="Wk 23 2026" dataDxfId="104"/>
    <tableColumn id="59" xr3:uid="{00000000-0010-0000-0600-00003B000000}" name="Wk 24 2026" dataDxfId="103"/>
    <tableColumn id="60" xr3:uid="{00000000-0010-0000-0600-00003C000000}" name="Wk 25 2026" dataDxfId="102"/>
    <tableColumn id="61" xr3:uid="{00000000-0010-0000-0600-00003D000000}" name="Wk 26 2026" dataDxfId="101"/>
    <tableColumn id="62" xr3:uid="{00000000-0010-0000-0600-00003E000000}" name="Wk 27 2026" dataDxfId="100"/>
    <tableColumn id="63" xr3:uid="{00000000-0010-0000-0600-00003F000000}" name="Wk 28 2026" dataDxfId="99"/>
    <tableColumn id="64" xr3:uid="{00000000-0010-0000-0600-000040000000}" name="Wk 29 2026" dataDxfId="98"/>
    <tableColumn id="65" xr3:uid="{00000000-0010-0000-0600-000041000000}" name="Wk 30 2026" dataDxfId="97"/>
    <tableColumn id="66" xr3:uid="{00000000-0010-0000-0600-000042000000}" name="Wk 31 2026" dataDxfId="96"/>
    <tableColumn id="67" xr3:uid="{00000000-0010-0000-0600-000043000000}" name="Wk 32 2026" dataDxfId="95"/>
    <tableColumn id="68" xr3:uid="{00000000-0010-0000-0600-000044000000}" name="Wk 33 2026" dataDxfId="94"/>
    <tableColumn id="69" xr3:uid="{00000000-0010-0000-0600-000045000000}" name="Wk 34 2026" dataDxfId="93"/>
    <tableColumn id="70" xr3:uid="{00000000-0010-0000-0600-000046000000}" name="Wk 35 2026" dataDxfId="92"/>
    <tableColumn id="71" xr3:uid="{00000000-0010-0000-0600-000047000000}" name="Wk 36 2026" dataDxfId="91"/>
    <tableColumn id="72" xr3:uid="{00000000-0010-0000-0600-000048000000}" name="Wk 37 2026" dataDxfId="90"/>
    <tableColumn id="73" xr3:uid="{00000000-0010-0000-0600-000049000000}" name="Wk 38 2026" dataDxfId="89"/>
    <tableColumn id="74" xr3:uid="{00000000-0010-0000-0600-00004A000000}" name="Wk 39 2026" dataDxfId="88"/>
    <tableColumn id="75" xr3:uid="{00000000-0010-0000-0600-00004B000000}" name="Wk 40 2026" dataDxfId="87"/>
    <tableColumn id="76" xr3:uid="{00000000-0010-0000-0600-00004C000000}" name="Wk 41 2026" dataDxfId="86"/>
    <tableColumn id="77" xr3:uid="{00000000-0010-0000-0600-00004D000000}" name="Wk 42 2026" dataDxfId="85"/>
    <tableColumn id="78" xr3:uid="{00000000-0010-0000-0600-00004E000000}" name="Wk 43 2026" dataDxfId="84"/>
    <tableColumn id="79" xr3:uid="{00000000-0010-0000-0600-00004F000000}" name="Wk 44 2026" dataDxfId="83"/>
    <tableColumn id="80" xr3:uid="{00000000-0010-0000-0600-000050000000}" name="Wk 45 2026" dataDxfId="82"/>
    <tableColumn id="81" xr3:uid="{00000000-0010-0000-0600-000051000000}" name="Wk 46 2026" dataDxfId="81"/>
    <tableColumn id="82" xr3:uid="{00000000-0010-0000-0600-000052000000}" name="Wk 47 2026" dataDxfId="80"/>
    <tableColumn id="83" xr3:uid="{00000000-0010-0000-0600-000053000000}" name="Wk 48 2026" dataDxfId="79"/>
    <tableColumn id="84" xr3:uid="{00000000-0010-0000-0600-000054000000}" name="Wk 49 2026" dataDxfId="78"/>
    <tableColumn id="85" xr3:uid="{00000000-0010-0000-0600-000055000000}" name="Wk 50 2026" dataDxfId="77"/>
    <tableColumn id="86" xr3:uid="{00000000-0010-0000-0600-000056000000}" name="Wk 51 2026" dataDxfId="76"/>
    <tableColumn id="87" xr3:uid="{00000000-0010-0000-0600-000057000000}" name="Wk 52 2026" dataDxfId="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ForecastUPO27" displayName="TblForecastUPO27" ref="B36:CJ42" totalsRowShown="0" headerRowDxfId="74" headerRowBorderDxfId="73" tableBorderDxfId="72">
  <autoFilter ref="B36:CJ42" xr:uid="{00000000-0009-0000-0100-000008000000}"/>
  <tableColumns count="87">
    <tableColumn id="1" xr3:uid="{00000000-0010-0000-0700-000001000000}" name="MP"/>
    <tableColumn id="2" xr3:uid="{00000000-0010-0000-0700-000002000000}" name="Wk19 2025" dataDxfId="71"/>
    <tableColumn id="3" xr3:uid="{00000000-0010-0000-0700-000003000000}" name="Wk20 2025" dataDxfId="70"/>
    <tableColumn id="4" xr3:uid="{00000000-0010-0000-0700-000004000000}" name="Wk21 2025" dataDxfId="69"/>
    <tableColumn id="5" xr3:uid="{00000000-0010-0000-0700-000005000000}" name="Wk22 2025"/>
    <tableColumn id="6" xr3:uid="{00000000-0010-0000-0700-000006000000}" name="Wk23 2025"/>
    <tableColumn id="7" xr3:uid="{00000000-0010-0000-0700-000007000000}" name="Wk24 2025"/>
    <tableColumn id="8" xr3:uid="{00000000-0010-0000-0700-000008000000}" name="Wk25 2025"/>
    <tableColumn id="9" xr3:uid="{00000000-0010-0000-0700-000009000000}" name="Wk26 2025"/>
    <tableColumn id="10" xr3:uid="{00000000-0010-0000-0700-00000A000000}" name="Wk27 2025"/>
    <tableColumn id="11" xr3:uid="{00000000-0010-0000-0700-00000B000000}" name="Wk28 2025" dataDxfId="68"/>
    <tableColumn id="12" xr3:uid="{00000000-0010-0000-0700-00000C000000}" name="Wk29 2025" dataDxfId="67"/>
    <tableColumn id="13" xr3:uid="{00000000-0010-0000-0700-00000D000000}" name="Wk30 2025"/>
    <tableColumn id="14" xr3:uid="{00000000-0010-0000-0700-00000E000000}" name="Wk31 2025"/>
    <tableColumn id="15" xr3:uid="{00000000-0010-0000-0700-00000F000000}" name="Wk32 2025"/>
    <tableColumn id="16" xr3:uid="{00000000-0010-0000-0700-000010000000}" name="Wk33 2025"/>
    <tableColumn id="17" xr3:uid="{00000000-0010-0000-0700-000011000000}" name="Wk34 2025"/>
    <tableColumn id="18" xr3:uid="{00000000-0010-0000-0700-000012000000}" name="Wk35 2025"/>
    <tableColumn id="19" xr3:uid="{00000000-0010-0000-0700-000013000000}" name="Wk36 2025"/>
    <tableColumn id="20" xr3:uid="{00000000-0010-0000-0700-000014000000}" name="Wk37 2025"/>
    <tableColumn id="21" xr3:uid="{00000000-0010-0000-0700-000015000000}" name="Wk38 2025"/>
    <tableColumn id="22" xr3:uid="{00000000-0010-0000-0700-000016000000}" name="Wk39 2025"/>
    <tableColumn id="23" xr3:uid="{00000000-0010-0000-0700-000017000000}" name="Wk40 2025"/>
    <tableColumn id="24" xr3:uid="{00000000-0010-0000-0700-000018000000}" name="Wk41 2025"/>
    <tableColumn id="25" xr3:uid="{00000000-0010-0000-0700-000019000000}" name="Wk42 2025" dataDxfId="66"/>
    <tableColumn id="26" xr3:uid="{00000000-0010-0000-0700-00001A000000}" name="Wk43 2025" dataDxfId="65"/>
    <tableColumn id="27" xr3:uid="{00000000-0010-0000-0700-00001B000000}" name="Wk44 2025" dataDxfId="64"/>
    <tableColumn id="28" xr3:uid="{00000000-0010-0000-0700-00001C000000}" name="Wk45 2025" dataDxfId="63"/>
    <tableColumn id="29" xr3:uid="{00000000-0010-0000-0700-00001D000000}" name="Wk46 2025" dataDxfId="62"/>
    <tableColumn id="30" xr3:uid="{00000000-0010-0000-0700-00001E000000}" name="Wk47 2025" dataDxfId="61"/>
    <tableColumn id="31" xr3:uid="{00000000-0010-0000-0700-00001F000000}" name="Wk48 2025" dataDxfId="60"/>
    <tableColumn id="32" xr3:uid="{00000000-0010-0000-0700-000020000000}" name="Wk49 2025" dataDxfId="59"/>
    <tableColumn id="33" xr3:uid="{00000000-0010-0000-0700-000021000000}" name="Wk50 2025" dataDxfId="58"/>
    <tableColumn id="34" xr3:uid="{00000000-0010-0000-0700-000022000000}" name="Wk51 2025" dataDxfId="57"/>
    <tableColumn id="35" xr3:uid="{00000000-0010-0000-0700-000023000000}" name="Wk52 2025" dataDxfId="56"/>
    <tableColumn id="36" xr3:uid="{00000000-0010-0000-0700-000024000000}" name="Wk 1 2026" dataDxfId="55"/>
    <tableColumn id="37" xr3:uid="{00000000-0010-0000-0700-000025000000}" name="Wk 2 2026" dataDxfId="54"/>
    <tableColumn id="38" xr3:uid="{00000000-0010-0000-0700-000026000000}" name="Wk 3 2026" dataDxfId="53"/>
    <tableColumn id="39" xr3:uid="{00000000-0010-0000-0700-000027000000}" name="Wk 4 2026" dataDxfId="52"/>
    <tableColumn id="40" xr3:uid="{00000000-0010-0000-0700-000028000000}" name="Wk 5 2026" dataDxfId="51"/>
    <tableColumn id="41" xr3:uid="{00000000-0010-0000-0700-000029000000}" name="Wk 6 2026" dataDxfId="50"/>
    <tableColumn id="42" xr3:uid="{00000000-0010-0000-0700-00002A000000}" name="Wk 7 2026" dataDxfId="49"/>
    <tableColumn id="43" xr3:uid="{00000000-0010-0000-0700-00002B000000}" name="Wk 8 2026" dataDxfId="48"/>
    <tableColumn id="44" xr3:uid="{00000000-0010-0000-0700-00002C000000}" name="Wk 9 2026" dataDxfId="47"/>
    <tableColumn id="45" xr3:uid="{00000000-0010-0000-0700-00002D000000}" name="Wk 10 2026" dataDxfId="46"/>
    <tableColumn id="46" xr3:uid="{00000000-0010-0000-0700-00002E000000}" name="Wk 11 2026" dataDxfId="45"/>
    <tableColumn id="47" xr3:uid="{00000000-0010-0000-0700-00002F000000}" name="Wk 12 2026" dataDxfId="44"/>
    <tableColumn id="48" xr3:uid="{00000000-0010-0000-0700-000030000000}" name="Wk 13 2026" dataDxfId="43"/>
    <tableColumn id="49" xr3:uid="{00000000-0010-0000-0700-000031000000}" name="Wk 14 2026" dataDxfId="42"/>
    <tableColumn id="50" xr3:uid="{00000000-0010-0000-0700-000032000000}" name="Wk 15 2026" dataDxfId="41"/>
    <tableColumn id="51" xr3:uid="{00000000-0010-0000-0700-000033000000}" name="Wk 16 2026" dataDxfId="40"/>
    <tableColumn id="52" xr3:uid="{00000000-0010-0000-0700-000034000000}" name="Wk 17 2026" dataDxfId="39"/>
    <tableColumn id="53" xr3:uid="{00000000-0010-0000-0700-000035000000}" name="Wk 18 2026" dataDxfId="38"/>
    <tableColumn id="54" xr3:uid="{00000000-0010-0000-0700-000036000000}" name="Wk 19 2026" dataDxfId="37"/>
    <tableColumn id="55" xr3:uid="{00000000-0010-0000-0700-000037000000}" name="Wk 20 2026" dataDxfId="36"/>
    <tableColumn id="56" xr3:uid="{00000000-0010-0000-0700-000038000000}" name="Wk 21 2026" dataDxfId="35"/>
    <tableColumn id="57" xr3:uid="{00000000-0010-0000-0700-000039000000}" name="Wk 22 2026" dataDxfId="34"/>
    <tableColumn id="58" xr3:uid="{00000000-0010-0000-0700-00003A000000}" name="Wk 23 2026" dataDxfId="33"/>
    <tableColumn id="59" xr3:uid="{00000000-0010-0000-0700-00003B000000}" name="Wk 24 2026" dataDxfId="32"/>
    <tableColumn id="60" xr3:uid="{00000000-0010-0000-0700-00003C000000}" name="Wk 25 2026" dataDxfId="31"/>
    <tableColumn id="61" xr3:uid="{00000000-0010-0000-0700-00003D000000}" name="Wk 26 2026" dataDxfId="30"/>
    <tableColumn id="62" xr3:uid="{00000000-0010-0000-0700-00003E000000}" name="Wk 27 2026" dataDxfId="29"/>
    <tableColumn id="63" xr3:uid="{00000000-0010-0000-0700-00003F000000}" name="Wk 28 2026" dataDxfId="28"/>
    <tableColumn id="64" xr3:uid="{00000000-0010-0000-0700-000040000000}" name="Wk 29 2026" dataDxfId="27"/>
    <tableColumn id="65" xr3:uid="{00000000-0010-0000-0700-000041000000}" name="Wk 30 2026" dataDxfId="26"/>
    <tableColumn id="66" xr3:uid="{00000000-0010-0000-0700-000042000000}" name="Wk 31 2026" dataDxfId="25"/>
    <tableColumn id="67" xr3:uid="{00000000-0010-0000-0700-000043000000}" name="Wk 32 2026" dataDxfId="24"/>
    <tableColumn id="68" xr3:uid="{00000000-0010-0000-0700-000044000000}" name="Wk 33 2026" dataDxfId="23"/>
    <tableColumn id="69" xr3:uid="{00000000-0010-0000-0700-000045000000}" name="Wk 34 2026" dataDxfId="22"/>
    <tableColumn id="70" xr3:uid="{00000000-0010-0000-0700-000046000000}" name="Wk 35 2026" dataDxfId="21"/>
    <tableColumn id="71" xr3:uid="{00000000-0010-0000-0700-000047000000}" name="Wk 36 2026" dataDxfId="20"/>
    <tableColumn id="72" xr3:uid="{00000000-0010-0000-0700-000048000000}" name="Wk 37 2026" dataDxfId="19"/>
    <tableColumn id="73" xr3:uid="{00000000-0010-0000-0700-000049000000}" name="Wk 38 2026" dataDxfId="18"/>
    <tableColumn id="74" xr3:uid="{00000000-0010-0000-0700-00004A000000}" name="Wk 39 2026" dataDxfId="17"/>
    <tableColumn id="75" xr3:uid="{00000000-0010-0000-0700-00004B000000}" name="Wk 40 2026" dataDxfId="16"/>
    <tableColumn id="76" xr3:uid="{00000000-0010-0000-0700-00004C000000}" name="Wk 41 2026" dataDxfId="15"/>
    <tableColumn id="77" xr3:uid="{00000000-0010-0000-0700-00004D000000}" name="Wk 42 2026" dataDxfId="14"/>
    <tableColumn id="78" xr3:uid="{00000000-0010-0000-0700-00004E000000}" name="Wk 43 2026" dataDxfId="13"/>
    <tableColumn id="79" xr3:uid="{00000000-0010-0000-0700-00004F000000}" name="Wk 44 2026" dataDxfId="12"/>
    <tableColumn id="80" xr3:uid="{00000000-0010-0000-0700-000050000000}" name="Wk 45 2026" dataDxfId="11"/>
    <tableColumn id="81" xr3:uid="{00000000-0010-0000-0700-000051000000}" name="Wk 46 2026" dataDxfId="10"/>
    <tableColumn id="82" xr3:uid="{00000000-0010-0000-0700-000052000000}" name="Wk 47 2026" dataDxfId="9"/>
    <tableColumn id="83" xr3:uid="{00000000-0010-0000-0700-000053000000}" name="Wk 48 2026" dataDxfId="8"/>
    <tableColumn id="84" xr3:uid="{00000000-0010-0000-0700-000054000000}" name="Wk 49 2026" dataDxfId="7"/>
    <tableColumn id="85" xr3:uid="{00000000-0010-0000-0700-000055000000}" name="Wk 50 2026" dataDxfId="6"/>
    <tableColumn id="86" xr3:uid="{00000000-0010-0000-0700-000056000000}" name="Wk 51 2026" dataDxfId="5"/>
    <tableColumn id="87" xr3:uid="{00000000-0010-0000-0700-000057000000}" name="Wk 52 2026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J37"/>
  <sheetViews>
    <sheetView tabSelected="1" topLeftCell="U1" workbookViewId="0">
      <selection activeCell="AP32" sqref="AP32:AP37"/>
    </sheetView>
  </sheetViews>
  <sheetFormatPr defaultRowHeight="15" x14ac:dyDescent="0.25"/>
  <cols>
    <col min="2" max="2" width="4.42578125" bestFit="1" customWidth="1"/>
    <col min="3" max="3" width="8.28515625" bestFit="1" customWidth="1"/>
    <col min="4" max="4" width="9.5703125" bestFit="1" customWidth="1"/>
    <col min="5" max="5" width="8.28515625" bestFit="1" customWidth="1"/>
    <col min="6" max="19" width="9.5703125" bestFit="1" customWidth="1"/>
    <col min="20" max="29" width="11.42578125" bestFit="1" customWidth="1"/>
    <col min="30" max="30" width="12.7109375" bestFit="1" customWidth="1"/>
    <col min="31" max="37" width="11.42578125" bestFit="1" customWidth="1"/>
    <col min="38" max="39" width="11.5703125" bestFit="1" customWidth="1"/>
    <col min="40" max="40" width="11.42578125" bestFit="1" customWidth="1"/>
    <col min="41" max="42" width="12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customHeight="1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>
        <v>229971</v>
      </c>
      <c r="AK3" s="1">
        <v>288997</v>
      </c>
      <c r="AL3" s="1">
        <v>349629</v>
      </c>
      <c r="AM3" s="1">
        <v>323142</v>
      </c>
      <c r="AN3" s="2">
        <v>232295</v>
      </c>
      <c r="AO3" s="2">
        <v>250690</v>
      </c>
      <c r="AP3" s="1">
        <v>270346</v>
      </c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customHeight="1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>
        <v>49565</v>
      </c>
      <c r="AK4" s="1">
        <v>64727</v>
      </c>
      <c r="AL4" s="1">
        <v>85630</v>
      </c>
      <c r="AM4" s="1">
        <v>77429</v>
      </c>
      <c r="AN4" s="1">
        <v>51933</v>
      </c>
      <c r="AO4" s="1">
        <v>61256</v>
      </c>
      <c r="AP4" s="1">
        <v>67765</v>
      </c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customHeight="1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>
        <v>12710</v>
      </c>
      <c r="AK5" s="1">
        <v>13343</v>
      </c>
      <c r="AL5" s="1">
        <v>21818</v>
      </c>
      <c r="AM5" s="1">
        <v>18797</v>
      </c>
      <c r="AN5" s="1">
        <v>12059</v>
      </c>
      <c r="AO5" s="1">
        <v>12187</v>
      </c>
      <c r="AP5" s="1">
        <v>15525</v>
      </c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customHeight="1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>
        <v>102187</v>
      </c>
      <c r="AK6" s="1">
        <v>116045</v>
      </c>
      <c r="AL6" s="1">
        <v>159911</v>
      </c>
      <c r="AM6" s="1">
        <v>157746</v>
      </c>
      <c r="AN6" s="1">
        <v>122343</v>
      </c>
      <c r="AO6" s="1">
        <v>110625</v>
      </c>
      <c r="AP6" s="1">
        <v>131117</v>
      </c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customHeight="1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>
        <v>101184</v>
      </c>
      <c r="AK7" s="1">
        <v>100603</v>
      </c>
      <c r="AL7" s="1">
        <v>258311</v>
      </c>
      <c r="AM7" s="1">
        <v>175888</v>
      </c>
      <c r="AN7" s="1">
        <v>92729</v>
      </c>
      <c r="AO7" s="1">
        <v>97704</v>
      </c>
      <c r="AP7" s="1">
        <v>89224</v>
      </c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customHeight="1" x14ac:dyDescent="0.25">
      <c r="B8" s="3" t="s">
        <v>93</v>
      </c>
      <c r="C8" s="1">
        <f t="shared" ref="C8:AK8" si="0">SUBTOTAL(109,C3:C7)</f>
        <v>2989</v>
      </c>
      <c r="D8" s="1">
        <f t="shared" si="0"/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 t="shared" si="0"/>
        <v>162433</v>
      </c>
      <c r="AD8" s="1">
        <f t="shared" si="0"/>
        <v>1864888</v>
      </c>
      <c r="AE8" s="2">
        <f t="shared" si="0"/>
        <v>1000154</v>
      </c>
      <c r="AF8" s="2">
        <f t="shared" si="0"/>
        <v>1266927</v>
      </c>
      <c r="AG8" s="2">
        <f t="shared" si="0"/>
        <v>1071603</v>
      </c>
      <c r="AH8" s="2">
        <f t="shared" si="0"/>
        <v>880781</v>
      </c>
      <c r="AI8" s="2">
        <f t="shared" si="0"/>
        <v>609769</v>
      </c>
      <c r="AJ8" s="2">
        <f t="shared" si="0"/>
        <v>495617</v>
      </c>
      <c r="AK8" s="2">
        <f t="shared" si="0"/>
        <v>583715</v>
      </c>
      <c r="AL8" s="2">
        <v>875299</v>
      </c>
      <c r="AM8" s="2">
        <v>753002</v>
      </c>
      <c r="AN8" s="2">
        <v>511359</v>
      </c>
      <c r="AO8" s="2">
        <v>532462</v>
      </c>
      <c r="AP8" s="2">
        <v>573977</v>
      </c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customHeight="1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>
        <v>1743225</v>
      </c>
      <c r="AK13" s="1">
        <v>1611180</v>
      </c>
      <c r="AL13" s="1">
        <v>1439414</v>
      </c>
      <c r="AM13" s="1">
        <v>1389172</v>
      </c>
      <c r="AN13" s="1">
        <v>1107351</v>
      </c>
      <c r="AO13" s="2">
        <v>1194077</v>
      </c>
      <c r="AP13" s="2">
        <v>1167002</v>
      </c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customHeight="1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>
        <v>1487982</v>
      </c>
      <c r="AK14" s="1">
        <v>1367559</v>
      </c>
      <c r="AL14" s="1">
        <v>1277012</v>
      </c>
      <c r="AM14" s="1">
        <v>1261399</v>
      </c>
      <c r="AN14" s="1">
        <v>1066204</v>
      </c>
      <c r="AO14" s="1">
        <v>1970459</v>
      </c>
      <c r="AP14" s="1">
        <v>1565147</v>
      </c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customHeight="1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>
        <v>729311</v>
      </c>
      <c r="AK15" s="1">
        <v>513048</v>
      </c>
      <c r="AL15" s="1">
        <v>412666</v>
      </c>
      <c r="AM15" s="1">
        <v>397887</v>
      </c>
      <c r="AN15" s="1">
        <v>399012</v>
      </c>
      <c r="AO15" s="1">
        <v>478066</v>
      </c>
      <c r="AP15" s="1">
        <v>427182</v>
      </c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customHeight="1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>
        <v>1499445</v>
      </c>
      <c r="AK16" s="1">
        <v>1028000</v>
      </c>
      <c r="AL16" s="1">
        <v>981826</v>
      </c>
      <c r="AM16" s="1">
        <v>1047291</v>
      </c>
      <c r="AN16" s="1">
        <v>990397</v>
      </c>
      <c r="AO16" s="1">
        <v>1502666</v>
      </c>
      <c r="AP16" s="1">
        <v>2010183</v>
      </c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customHeight="1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>
        <v>1214448</v>
      </c>
      <c r="AK17" s="1">
        <v>901152</v>
      </c>
      <c r="AL17" s="1">
        <v>1376576</v>
      </c>
      <c r="AM17" s="1">
        <v>1010795</v>
      </c>
      <c r="AN17" s="1">
        <v>815749</v>
      </c>
      <c r="AO17" s="1">
        <v>1345573</v>
      </c>
      <c r="AP17" s="1">
        <v>1301375</v>
      </c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customHeight="1" x14ac:dyDescent="0.25">
      <c r="B18" s="13" t="s">
        <v>93</v>
      </c>
      <c r="C18" s="14">
        <f t="shared" ref="C18:AL18" si="1">SUBTOTAL(109,C13:C17)</f>
        <v>67675</v>
      </c>
      <c r="D18" s="14">
        <f t="shared" si="1"/>
        <v>159326</v>
      </c>
      <c r="E18" s="14">
        <f t="shared" si="1"/>
        <v>68991</v>
      </c>
      <c r="F18" s="14">
        <f t="shared" si="1"/>
        <v>291980</v>
      </c>
      <c r="G18" s="14">
        <f t="shared" si="1"/>
        <v>354405</v>
      </c>
      <c r="H18" s="14">
        <f t="shared" si="1"/>
        <v>315505</v>
      </c>
      <c r="I18" s="14">
        <f t="shared" si="1"/>
        <v>1019070</v>
      </c>
      <c r="J18" s="14">
        <f t="shared" si="1"/>
        <v>493023</v>
      </c>
      <c r="K18" s="14">
        <f t="shared" si="1"/>
        <v>440956</v>
      </c>
      <c r="L18" s="14">
        <f t="shared" si="1"/>
        <v>359674</v>
      </c>
      <c r="M18" s="14">
        <f t="shared" si="1"/>
        <v>336993</v>
      </c>
      <c r="N18" s="14">
        <f t="shared" si="1"/>
        <v>555581</v>
      </c>
      <c r="O18" s="14">
        <f t="shared" si="1"/>
        <v>504882</v>
      </c>
      <c r="P18" s="14">
        <f t="shared" si="1"/>
        <v>1496823</v>
      </c>
      <c r="Q18" s="14">
        <f t="shared" si="1"/>
        <v>1129784</v>
      </c>
      <c r="R18" s="14">
        <f t="shared" si="1"/>
        <v>1313771</v>
      </c>
      <c r="S18" s="14">
        <f t="shared" si="1"/>
        <v>1593556</v>
      </c>
      <c r="T18" s="14">
        <f t="shared" si="1"/>
        <v>1825316</v>
      </c>
      <c r="U18" s="14">
        <f t="shared" si="1"/>
        <v>1995635</v>
      </c>
      <c r="V18" s="14">
        <f t="shared" si="1"/>
        <v>2175588</v>
      </c>
      <c r="W18" s="14">
        <f t="shared" si="1"/>
        <v>2663575</v>
      </c>
      <c r="X18" s="1">
        <f t="shared" si="1"/>
        <v>3804079</v>
      </c>
      <c r="Y18" s="1">
        <f t="shared" si="1"/>
        <v>5238173</v>
      </c>
      <c r="Z18" s="1">
        <f t="shared" si="1"/>
        <v>3157089</v>
      </c>
      <c r="AA18" s="1">
        <f t="shared" si="1"/>
        <v>4929883</v>
      </c>
      <c r="AB18" s="1">
        <f t="shared" si="1"/>
        <v>4880550</v>
      </c>
      <c r="AC18" s="1">
        <f t="shared" si="1"/>
        <v>3465931</v>
      </c>
      <c r="AD18" s="1">
        <f t="shared" si="1"/>
        <v>14065371</v>
      </c>
      <c r="AE18" s="2">
        <f t="shared" si="1"/>
        <v>7658278</v>
      </c>
      <c r="AF18" s="2">
        <f t="shared" si="1"/>
        <v>6606556</v>
      </c>
      <c r="AG18" s="2">
        <f t="shared" si="1"/>
        <v>8126363</v>
      </c>
      <c r="AH18" s="2">
        <f t="shared" si="1"/>
        <v>8160461</v>
      </c>
      <c r="AI18" s="2">
        <f t="shared" si="1"/>
        <v>7502558</v>
      </c>
      <c r="AJ18" s="2">
        <f t="shared" si="1"/>
        <v>6674411</v>
      </c>
      <c r="AK18" s="2">
        <f t="shared" si="1"/>
        <v>5420939</v>
      </c>
      <c r="AL18" s="2">
        <f t="shared" si="1"/>
        <v>5487494</v>
      </c>
      <c r="AM18" s="1">
        <v>5106544</v>
      </c>
      <c r="AN18" s="1">
        <v>4378713</v>
      </c>
      <c r="AO18" s="2">
        <v>6490841</v>
      </c>
      <c r="AP18" s="2">
        <v>6470889</v>
      </c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customHeight="1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1.443776232996623E-2</v>
      </c>
      <c r="I22" s="18">
        <v>1.913997561786545E-2</v>
      </c>
      <c r="J22" s="18">
        <v>1.8274032514735122E-2</v>
      </c>
      <c r="K22" s="18">
        <v>2.022482783091141E-2</v>
      </c>
      <c r="L22" s="18">
        <v>2.4843259103428231E-2</v>
      </c>
      <c r="M22" s="18">
        <v>2.1163252827881378E-2</v>
      </c>
      <c r="N22" s="18">
        <v>2.4423926317351258E-2</v>
      </c>
      <c r="O22" s="18">
        <v>2.0259297405097229E-2</v>
      </c>
      <c r="P22" s="18">
        <v>2.325390660806554E-2</v>
      </c>
      <c r="Q22" s="18">
        <v>3.2178104565411571E-2</v>
      </c>
      <c r="R22" s="18">
        <v>1.8906765581883121E-2</v>
      </c>
      <c r="S22" s="18">
        <v>1.55688232881261E-2</v>
      </c>
      <c r="T22" s="18">
        <v>1.6856443490507699E-2</v>
      </c>
      <c r="U22" s="18">
        <v>2.8854502082033821E-2</v>
      </c>
      <c r="V22" s="18">
        <v>1.3991526817565689E-2</v>
      </c>
      <c r="W22" s="18">
        <v>1.7662563645982881E-2</v>
      </c>
      <c r="X22" s="19">
        <v>2.1031190228054421E-2</v>
      </c>
      <c r="Y22" s="19">
        <v>2.8474556639807521E-2</v>
      </c>
      <c r="Z22" s="19">
        <v>1.3135763350080839E-2</v>
      </c>
      <c r="AA22" s="19">
        <v>1.816097408743781E-2</v>
      </c>
      <c r="AB22" s="19">
        <v>2.220589774670622E-2</v>
      </c>
      <c r="AC22" s="19">
        <v>1.6E-2</v>
      </c>
      <c r="AD22" s="19">
        <v>3.9E-2</v>
      </c>
      <c r="AE22" s="20">
        <v>0.03</v>
      </c>
      <c r="AF22" s="20">
        <v>3.4732137375364583E-2</v>
      </c>
      <c r="AG22" s="19">
        <v>2.9979449299789351E-2</v>
      </c>
      <c r="AH22" s="19">
        <v>3.4643946358327522E-2</v>
      </c>
      <c r="AI22" s="19">
        <v>1.828775021000999E-2</v>
      </c>
      <c r="AJ22" s="19">
        <v>1.88427376086636E-2</v>
      </c>
      <c r="AK22" s="19">
        <v>2.6019423973527661E-2</v>
      </c>
      <c r="AL22" s="19">
        <v>3.2348181750670613E-2</v>
      </c>
      <c r="AM22" s="19">
        <v>3.1531012718367488E-2</v>
      </c>
      <c r="AN22" s="19">
        <v>3.0523293878815302E-2</v>
      </c>
      <c r="AO22" s="20">
        <v>2.9993040649807338E-2</v>
      </c>
      <c r="AP22" s="20">
        <v>3.2203886540040208E-2</v>
      </c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customHeight="1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1.0168279437727671E-2</v>
      </c>
      <c r="I23" s="18">
        <v>1.6296309339343569E-2</v>
      </c>
      <c r="J23" s="18">
        <v>2.0505135768278691E-2</v>
      </c>
      <c r="K23" s="18">
        <v>1.561893256245416E-2</v>
      </c>
      <c r="L23" s="18">
        <v>1.4941812908982751E-2</v>
      </c>
      <c r="M23" s="18">
        <v>1.301460565696352E-2</v>
      </c>
      <c r="N23" s="18">
        <v>1.388338503163389E-2</v>
      </c>
      <c r="O23" s="18">
        <v>1.080022634473606E-2</v>
      </c>
      <c r="P23" s="18">
        <v>1.2594400863093611E-2</v>
      </c>
      <c r="Q23" s="18">
        <v>2.0918080154613279E-2</v>
      </c>
      <c r="R23" s="18">
        <v>9.1990473132091636E-3</v>
      </c>
      <c r="S23" s="18">
        <v>8.9642700981454951E-3</v>
      </c>
      <c r="T23" s="18">
        <v>1.835474214694403E-2</v>
      </c>
      <c r="U23" s="18">
        <v>1.697174465369022E-2</v>
      </c>
      <c r="V23" s="18">
        <v>9.1915087029889181E-3</v>
      </c>
      <c r="W23" s="18">
        <v>1.216388002466518E-2</v>
      </c>
      <c r="X23" s="19">
        <v>1.466414606714686E-2</v>
      </c>
      <c r="Y23" s="19">
        <v>2.5065029834298029E-2</v>
      </c>
      <c r="Z23" s="19">
        <v>6.6346572645513977E-3</v>
      </c>
      <c r="AA23" s="19">
        <v>1.22983585890288E-2</v>
      </c>
      <c r="AB23" s="19">
        <v>1.527413729355216E-2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1.035018890007647E-2</v>
      </c>
      <c r="AH23" s="19">
        <v>1.0263285263674539E-2</v>
      </c>
      <c r="AI23" s="19">
        <v>8.6526540573597602E-3</v>
      </c>
      <c r="AJ23" s="19">
        <v>8.8043309955908484E-3</v>
      </c>
      <c r="AK23" s="19">
        <v>1.2607112092128191E-2</v>
      </c>
      <c r="AL23" s="19">
        <v>1.6195939760128258E-2</v>
      </c>
      <c r="AM23" s="19">
        <v>1.5642948821110531E-2</v>
      </c>
      <c r="AN23" s="19">
        <v>1.349085165690618E-2</v>
      </c>
      <c r="AO23" s="19">
        <v>8.3797734436494246E-3</v>
      </c>
      <c r="AP23" s="19">
        <v>1.102196790461215E-2</v>
      </c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customHeight="1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1.319392464703964E-2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1.43710243069213E-2</v>
      </c>
      <c r="AG24" s="19">
        <v>8.141439175456051E-3</v>
      </c>
      <c r="AH24" s="19">
        <v>6.0640450060178118E-3</v>
      </c>
      <c r="AI24" s="19">
        <v>1.6970058345412431E-2</v>
      </c>
      <c r="AJ24" s="19">
        <v>4.5715805553038242E-3</v>
      </c>
      <c r="AK24" s="19">
        <v>6.9654199892106349E-3</v>
      </c>
      <c r="AL24" s="19">
        <v>1.21230628112458E-2</v>
      </c>
      <c r="AM24" s="19">
        <v>1.133990303779716E-2</v>
      </c>
      <c r="AN24" s="19">
        <v>7.7065351418002456E-3</v>
      </c>
      <c r="AO24" s="19">
        <v>6.3087523480021583E-3</v>
      </c>
      <c r="AP24" s="19">
        <v>8.3032524778665767E-3</v>
      </c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customHeight="1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2.2482425001580032E-2</v>
      </c>
      <c r="AG25" s="19">
        <v>1.2305027868726681E-2</v>
      </c>
      <c r="AH25" s="19">
        <v>1.126058703986319E-2</v>
      </c>
      <c r="AI25" s="19">
        <v>1.028885168375766E-2</v>
      </c>
      <c r="AJ25" s="19">
        <v>9.4987285428478844E-3</v>
      </c>
      <c r="AK25" s="19">
        <v>1.552964030655838E-2</v>
      </c>
      <c r="AL25" s="19">
        <v>2.0757568960449811E-2</v>
      </c>
      <c r="AM25" s="19">
        <v>1.994001667158412E-2</v>
      </c>
      <c r="AN25" s="19">
        <v>1.6598394381243081E-2</v>
      </c>
      <c r="AO25" s="19">
        <v>1.0038824329558259E-2</v>
      </c>
      <c r="AP25" s="19">
        <v>8.6882637053442395E-3</v>
      </c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customHeight="1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2.8113138481527769E-3</v>
      </c>
      <c r="Y26" s="19">
        <v>5.4512846920112936E-3</v>
      </c>
      <c r="Z26" s="19">
        <v>1.339465363610233E-3</v>
      </c>
      <c r="AA26" s="19">
        <v>4.3163557852263484E-3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1.7774232797905371E-2</v>
      </c>
      <c r="AG26" s="19">
        <v>1.042463473989901E-2</v>
      </c>
      <c r="AH26" s="19">
        <v>8.9422370276291338E-3</v>
      </c>
      <c r="AI26" s="19">
        <v>2.3726482444878402E-2</v>
      </c>
      <c r="AJ26" s="19">
        <v>1.8326233943774889E-2</v>
      </c>
      <c r="AK26" s="19">
        <v>2.6749182009756029E-2</v>
      </c>
      <c r="AL26" s="19">
        <v>4.4559396288576962E-2</v>
      </c>
      <c r="AM26" s="19">
        <v>3.6204175920933522E-2</v>
      </c>
      <c r="AN26" s="19">
        <v>1.6129961544543731E-2</v>
      </c>
      <c r="AO26" s="19">
        <v>1.040225985509519E-2</v>
      </c>
      <c r="AP26" s="19">
        <v>9.6298146191528197E-3</v>
      </c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customHeight="1" x14ac:dyDescent="0.25">
      <c r="B27" s="28" t="s">
        <v>93</v>
      </c>
      <c r="C27" s="29">
        <f t="shared" ref="C27:AF27" si="2">SUMPRODUCT(C13:C17,C22:C26)/C18</f>
        <v>8.3339490210565196E-3</v>
      </c>
      <c r="D27" s="29">
        <f t="shared" si="2"/>
        <v>7.8957608927607541E-3</v>
      </c>
      <c r="E27" s="29">
        <f t="shared" si="2"/>
        <v>9.2475830180748213E-3</v>
      </c>
      <c r="F27" s="29">
        <f t="shared" si="2"/>
        <v>1.9607507363518049E-2</v>
      </c>
      <c r="G27" s="29">
        <f t="shared" si="2"/>
        <v>1.9178623326420337E-2</v>
      </c>
      <c r="H27" s="29">
        <f t="shared" si="2"/>
        <v>1.2015657438075466E-2</v>
      </c>
      <c r="I27" s="29">
        <f t="shared" si="2"/>
        <v>1.7555221918023296E-2</v>
      </c>
      <c r="J27" s="29">
        <f t="shared" si="2"/>
        <v>1.9228311863746721E-2</v>
      </c>
      <c r="K27" s="29">
        <f t="shared" si="2"/>
        <v>1.7561842904961045E-2</v>
      </c>
      <c r="L27" s="29">
        <f t="shared" si="2"/>
        <v>1.8919910808120687E-2</v>
      </c>
      <c r="M27" s="29">
        <f t="shared" si="2"/>
        <v>1.6178377592412897E-2</v>
      </c>
      <c r="N27" s="29">
        <f t="shared" si="2"/>
        <v>1.8870335738623168E-2</v>
      </c>
      <c r="O27" s="29">
        <f t="shared" si="2"/>
        <v>1.5657123842798912E-2</v>
      </c>
      <c r="P27" s="29">
        <f t="shared" si="2"/>
        <v>1.7022720789298406E-2</v>
      </c>
      <c r="Q27" s="29">
        <f t="shared" si="2"/>
        <v>2.5927964991538207E-2</v>
      </c>
      <c r="R27" s="29">
        <f t="shared" si="2"/>
        <v>1.3384372162271811E-2</v>
      </c>
      <c r="S27" s="29">
        <f t="shared" si="2"/>
        <v>1.2147047232729819E-2</v>
      </c>
      <c r="T27" s="29">
        <f t="shared" si="2"/>
        <v>1.7722958654830177E-2</v>
      </c>
      <c r="U27" s="29">
        <f t="shared" si="2"/>
        <v>2.2622874423429133E-2</v>
      </c>
      <c r="V27" s="29">
        <f t="shared" si="2"/>
        <v>1.1525619740502337E-2</v>
      </c>
      <c r="W27" s="29">
        <f t="shared" si="2"/>
        <v>1.5215265198089037E-2</v>
      </c>
      <c r="X27" s="19">
        <f t="shared" si="2"/>
        <v>1.1029739392899043E-2</v>
      </c>
      <c r="Y27" s="19">
        <f t="shared" si="2"/>
        <v>1.9108379963777448E-2</v>
      </c>
      <c r="Z27" s="19">
        <f t="shared" si="2"/>
        <v>7.0720210928485062E-3</v>
      </c>
      <c r="AA27" s="19">
        <f t="shared" si="2"/>
        <v>1.2144710128009122E-2</v>
      </c>
      <c r="AB27" s="19">
        <f t="shared" si="2"/>
        <v>1.5894724979766624E-2</v>
      </c>
      <c r="AC27" s="19">
        <f t="shared" si="2"/>
        <v>1.0433283870913761E-2</v>
      </c>
      <c r="AD27" s="19">
        <f t="shared" si="2"/>
        <v>2.6897899387083354E-2</v>
      </c>
      <c r="AE27" s="20">
        <f t="shared" si="2"/>
        <v>1.8965314004009776E-2</v>
      </c>
      <c r="AF27" s="20">
        <f t="shared" si="2"/>
        <v>2.3692978629970638E-2</v>
      </c>
      <c r="AG27" s="20">
        <f t="shared" ref="AG27:AL27" si="3">(AG22*AG13+AG23*AG14+AG24*AG15+AG25*AG16+AG26*AG17)/AG18</f>
        <v>1.6194796121107906E-2</v>
      </c>
      <c r="AH27" s="20">
        <f t="shared" si="3"/>
        <v>1.6151856214586254E-2</v>
      </c>
      <c r="AI27" s="20">
        <f t="shared" si="3"/>
        <v>1.5095419171480101E-2</v>
      </c>
      <c r="AJ27" s="20">
        <f t="shared" si="3"/>
        <v>1.2852220290029056E-2</v>
      </c>
      <c r="AK27" s="20">
        <f t="shared" si="3"/>
        <v>1.8964627533991665E-2</v>
      </c>
      <c r="AL27" s="20">
        <f t="shared" si="3"/>
        <v>2.8057857987087181E-2</v>
      </c>
      <c r="AM27" s="19">
        <v>2.4581008212207711E-2</v>
      </c>
      <c r="AN27" s="19">
        <v>1.846569985290198E-2</v>
      </c>
      <c r="AO27" s="20">
        <v>1.3006635041591681E-2</v>
      </c>
      <c r="AP27" s="20">
        <v>1.365762880494473E-2</v>
      </c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customHeight="1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5.4520547945205484</v>
      </c>
      <c r="I32" s="30">
        <v>5.6338158656629993</v>
      </c>
      <c r="J32" s="30">
        <v>5.1283941039565546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10.81154910096819</v>
      </c>
      <c r="Q32" s="30">
        <v>12.520370942812979</v>
      </c>
      <c r="R32" s="30">
        <v>10.366327388178171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10.548973837478041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 t="shared" ref="AE32:AE37" si="4"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>
        <v>7.0012506761892466</v>
      </c>
      <c r="AK32" s="31">
        <v>6.8936875333606427</v>
      </c>
      <c r="AL32" s="31">
        <v>7.5088227223022699</v>
      </c>
      <c r="AM32" s="31">
        <v>7.3773343682936856</v>
      </c>
      <c r="AN32" s="31">
        <v>6.8726331360946746</v>
      </c>
      <c r="AO32" s="32">
        <v>6.9997766236667216</v>
      </c>
      <c r="AP32" s="32">
        <v>7.1934968868075142</v>
      </c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customHeight="1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4.9021978021978034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10.177495462794919</v>
      </c>
      <c r="Q33" s="30">
        <v>11.48460131117548</v>
      </c>
      <c r="R33" s="30">
        <v>9.3213090909090912</v>
      </c>
      <c r="S33" s="30">
        <v>6.6703148223213082</v>
      </c>
      <c r="T33" s="30">
        <v>14.29283649876135</v>
      </c>
      <c r="U33" s="30">
        <v>10.05072626956424</v>
      </c>
      <c r="V33" s="30">
        <v>5.8866932736299038</v>
      </c>
      <c r="W33" s="30">
        <v>5.9529819694868236</v>
      </c>
      <c r="X33" s="31">
        <v>7.2550587467362924</v>
      </c>
      <c r="Y33" s="31">
        <v>10.66450462940041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si="4"/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>
        <v>3.786826204886887</v>
      </c>
      <c r="AK33" s="31">
        <v>3.7511261817588859</v>
      </c>
      <c r="AL33" s="31">
        <v>4.1439271126661303</v>
      </c>
      <c r="AM33" s="31">
        <v>3.924032029191161</v>
      </c>
      <c r="AN33" s="31">
        <v>3.610469966629589</v>
      </c>
      <c r="AO33" s="31">
        <v>3.7097868217054262</v>
      </c>
      <c r="AP33" s="31">
        <v>3.9281780766332388</v>
      </c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customHeight="1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5.2749244712990926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4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1.2513701254616769</v>
      </c>
      <c r="AJ34" s="31">
        <v>3.8088127013030109</v>
      </c>
      <c r="AK34" s="31">
        <v>3.779361287832717</v>
      </c>
      <c r="AL34" s="31">
        <v>4.372684543916872</v>
      </c>
      <c r="AM34" s="31">
        <v>4.1660017730496453</v>
      </c>
      <c r="AN34" s="31">
        <v>3.9216260162601619</v>
      </c>
      <c r="AO34" s="31">
        <v>4.0407824933687007</v>
      </c>
      <c r="AP34" s="31">
        <v>4.3769382576825491</v>
      </c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customHeight="1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4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>
        <v>7.1764443844222354</v>
      </c>
      <c r="AK35" s="31">
        <v>7.2713226750972764</v>
      </c>
      <c r="AL35" s="31">
        <v>7.8463155284133856</v>
      </c>
      <c r="AM35" s="31">
        <v>7.553799741416463</v>
      </c>
      <c r="AN35" s="31">
        <v>7.4422410122270213</v>
      </c>
      <c r="AO35" s="31">
        <v>7.3334438183626123</v>
      </c>
      <c r="AP35" s="31">
        <v>7.5074148296593188</v>
      </c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customHeight="1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4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>
        <v>4.5537698361724832</v>
      </c>
      <c r="AK36" s="31">
        <v>4.1782483643158983</v>
      </c>
      <c r="AL36" s="31">
        <v>4.2057741890022777</v>
      </c>
      <c r="AM36" s="31">
        <v>4.806339663888509</v>
      </c>
      <c r="AN36" s="31">
        <v>7.0473476212190302</v>
      </c>
      <c r="AO36" s="31">
        <v>6.9803529327713081</v>
      </c>
      <c r="AP36" s="31">
        <v>7.1196935844238736</v>
      </c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customHeight="1" x14ac:dyDescent="0.25">
      <c r="B37" s="13" t="s">
        <v>93</v>
      </c>
      <c r="C37" s="33">
        <f t="shared" ref="C37:AD37" si="5">SUMPRODUCT(C13:C17,C32:C36)/C18</f>
        <v>5.2996453900709222</v>
      </c>
      <c r="D37" s="33">
        <f t="shared" si="5"/>
        <v>4.9864864864864868</v>
      </c>
      <c r="E37" s="33">
        <f t="shared" si="5"/>
        <v>5.2931034482758621</v>
      </c>
      <c r="F37" s="33">
        <f t="shared" si="5"/>
        <v>7.8047161572052399</v>
      </c>
      <c r="G37" s="33">
        <f t="shared" si="5"/>
        <v>6.785372694218931</v>
      </c>
      <c r="H37" s="33">
        <f t="shared" si="5"/>
        <v>5.1401174136807413</v>
      </c>
      <c r="I37" s="33">
        <f t="shared" si="5"/>
        <v>6.0885035158810723</v>
      </c>
      <c r="J37" s="33">
        <f t="shared" si="5"/>
        <v>6.1332727156860702</v>
      </c>
      <c r="K37" s="33">
        <f t="shared" si="5"/>
        <v>5.3527178058107499</v>
      </c>
      <c r="L37" s="33">
        <f t="shared" si="5"/>
        <v>5.3715120535473675</v>
      </c>
      <c r="M37" s="33">
        <f t="shared" si="5"/>
        <v>5.3454260658850261</v>
      </c>
      <c r="N37" s="33">
        <f t="shared" si="5"/>
        <v>6.0900548171145878</v>
      </c>
      <c r="O37" s="33">
        <f t="shared" si="5"/>
        <v>6.2132403748014164</v>
      </c>
      <c r="P37" s="33">
        <f t="shared" si="5"/>
        <v>10.440902831521162</v>
      </c>
      <c r="Q37" s="33">
        <f t="shared" si="5"/>
        <v>11.945442814068825</v>
      </c>
      <c r="R37" s="33">
        <f t="shared" si="5"/>
        <v>9.7718517340139233</v>
      </c>
      <c r="S37" s="33">
        <f t="shared" si="5"/>
        <v>6.8755449198898626</v>
      </c>
      <c r="T37" s="33">
        <f t="shared" si="5"/>
        <v>12.049255281995146</v>
      </c>
      <c r="U37" s="33">
        <f t="shared" si="5"/>
        <v>9.9651604906189739</v>
      </c>
      <c r="V37" s="33">
        <f t="shared" si="5"/>
        <v>5.8805883107385553</v>
      </c>
      <c r="W37" s="33">
        <f t="shared" si="5"/>
        <v>6.3826186546372208</v>
      </c>
      <c r="X37" s="31">
        <f t="shared" si="5"/>
        <v>7.044358563498994</v>
      </c>
      <c r="Y37" s="31">
        <f t="shared" si="5"/>
        <v>9.9001804000889742</v>
      </c>
      <c r="Z37" s="31">
        <f t="shared" si="5"/>
        <v>5.4015650086011213</v>
      </c>
      <c r="AA37" s="31">
        <f t="shared" si="5"/>
        <v>7.1811385053926404</v>
      </c>
      <c r="AB37" s="31">
        <f t="shared" si="5"/>
        <v>7.1262405492748346</v>
      </c>
      <c r="AC37" s="31">
        <f t="shared" si="5"/>
        <v>4.3708967835770531</v>
      </c>
      <c r="AD37" s="31">
        <f t="shared" si="5"/>
        <v>4.6490813281782613</v>
      </c>
      <c r="AE37" s="32">
        <f t="shared" si="4"/>
        <v>6.8861378307008607</v>
      </c>
      <c r="AF37" s="32">
        <f t="shared" ref="AF37:AL37" si="6">AF8/(AF18*AF27)</f>
        <v>8.0938808778013858</v>
      </c>
      <c r="AG37" s="32">
        <f t="shared" si="6"/>
        <v>8.1425834408244686</v>
      </c>
      <c r="AH37" s="32">
        <f t="shared" si="6"/>
        <v>6.6823743930082289</v>
      </c>
      <c r="AI37" s="32">
        <f t="shared" si="6"/>
        <v>5.3840713053707816</v>
      </c>
      <c r="AJ37" s="32">
        <f t="shared" si="6"/>
        <v>5.7777013235698229</v>
      </c>
      <c r="AK37" s="32">
        <f t="shared" si="6"/>
        <v>5.6778251713217447</v>
      </c>
      <c r="AL37" s="32">
        <f t="shared" si="6"/>
        <v>5.6849658627281814</v>
      </c>
      <c r="AM37" s="31">
        <v>5.9988687422325624</v>
      </c>
      <c r="AN37" s="31">
        <v>6.3243173048382308</v>
      </c>
      <c r="AO37" s="32">
        <v>6.3069980100445369</v>
      </c>
      <c r="AP37" s="32">
        <v>6.4946422711791527</v>
      </c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J48"/>
  <sheetViews>
    <sheetView zoomScale="85" zoomScaleNormal="85" workbookViewId="0">
      <selection activeCell="AN26" sqref="AN26"/>
    </sheetView>
  </sheetViews>
  <sheetFormatPr defaultRowHeight="15" outlineLevelCol="1" x14ac:dyDescent="0.25"/>
  <cols>
    <col min="2" max="2" width="6" bestFit="1" customWidth="1"/>
    <col min="3" max="3" width="14.42578125" customWidth="1"/>
    <col min="4" max="4" width="10.42578125" hidden="1" customWidth="1" outlineLevel="1"/>
    <col min="5" max="7" width="12.5703125" hidden="1" customWidth="1" outlineLevel="1"/>
    <col min="8" max="8" width="11.7109375" hidden="1" customWidth="1" outlineLevel="1"/>
    <col min="9" max="12" width="12.5703125" hidden="1" customWidth="1" outlineLevel="1"/>
    <col min="13" max="13" width="11.7109375" hidden="1" customWidth="1" outlineLevel="1"/>
    <col min="14" max="14" width="11.42578125" hidden="1" customWidth="1" outlineLevel="1"/>
    <col min="15" max="22" width="13" hidden="1" customWidth="1" outlineLevel="1"/>
    <col min="23" max="23" width="9.140625" customWidth="1" collapsed="1"/>
    <col min="24" max="25" width="12.85546875" bestFit="1" customWidth="1"/>
    <col min="26" max="29" width="11.5703125" bestFit="1" customWidth="1"/>
    <col min="30" max="30" width="12.85546875" bestFit="1" customWidth="1"/>
    <col min="31" max="37" width="11.5703125" bestFit="1" customWidth="1"/>
    <col min="38" max="38" width="13.7109375" customWidth="1"/>
    <col min="39" max="41" width="12.85546875" bestFit="1" customWidth="1"/>
    <col min="42" max="46" width="11.5703125" bestFit="1" customWidth="1"/>
  </cols>
  <sheetData>
    <row r="2" spans="2:88" x14ac:dyDescent="0.25">
      <c r="B2" t="s">
        <v>0</v>
      </c>
    </row>
    <row r="3" spans="2:88" x14ac:dyDescent="0.2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5.75" customHeight="1" x14ac:dyDescent="0.2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 t="shared" ref="Z4:AT4" si="0">Z15*Z26*Z37</f>
        <v>69096.999999999782</v>
      </c>
      <c r="AA4" s="1">
        <f t="shared" si="0"/>
        <v>180642.15</v>
      </c>
      <c r="AB4" s="1">
        <f t="shared" si="0"/>
        <v>400779.81</v>
      </c>
      <c r="AC4" s="1">
        <f t="shared" si="0"/>
        <v>105450.34951293498</v>
      </c>
      <c r="AD4" s="1">
        <f t="shared" si="0"/>
        <v>613713.60296498891</v>
      </c>
      <c r="AE4" s="1">
        <f t="shared" si="0"/>
        <v>332774.83100262372</v>
      </c>
      <c r="AF4" s="1">
        <f t="shared" si="0"/>
        <v>685868.91975590342</v>
      </c>
      <c r="AG4" s="2">
        <f t="shared" si="0"/>
        <v>298409.52772637736</v>
      </c>
      <c r="AH4" s="2">
        <f t="shared" si="0"/>
        <v>293354.93760607985</v>
      </c>
      <c r="AI4" s="1">
        <f t="shared" si="0"/>
        <v>317600.38182947785</v>
      </c>
      <c r="AJ4" s="1">
        <f t="shared" si="0"/>
        <v>264261.13982857612</v>
      </c>
      <c r="AK4" s="1">
        <f t="shared" si="0"/>
        <v>264972.36497448746</v>
      </c>
      <c r="AL4" s="1">
        <f t="shared" si="0"/>
        <v>350805.27987882064</v>
      </c>
      <c r="AM4" s="1">
        <f t="shared" si="0"/>
        <v>376965.5640502437</v>
      </c>
      <c r="AN4" s="1">
        <f t="shared" si="0"/>
        <v>346112.08772227616</v>
      </c>
      <c r="AO4" s="1">
        <f t="shared" si="0"/>
        <v>266743.74347369024</v>
      </c>
      <c r="AP4" s="1">
        <f t="shared" si="0"/>
        <v>326718.30161780689</v>
      </c>
      <c r="AQ4" s="1">
        <f t="shared" si="0"/>
        <v>269327.23133369844</v>
      </c>
      <c r="AR4" s="1">
        <f t="shared" si="0"/>
        <v>383901.28867961891</v>
      </c>
      <c r="AS4" s="1">
        <f t="shared" si="0"/>
        <v>265183.0463662087</v>
      </c>
      <c r="AT4" s="1">
        <f t="shared" si="0"/>
        <v>331822.5846242765</v>
      </c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</row>
    <row r="5" spans="2:88" ht="15.75" customHeight="1" x14ac:dyDescent="0.2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 t="shared" ref="Z5:AT5" si="1">Z16*Z27*Z38</f>
        <v>34022.999999999971</v>
      </c>
      <c r="AA5" s="1">
        <f t="shared" si="1"/>
        <v>109698.12</v>
      </c>
      <c r="AB5" s="1">
        <f t="shared" si="1"/>
        <v>241118.01</v>
      </c>
      <c r="AC5" s="1">
        <f t="shared" si="1"/>
        <v>84022.106865929338</v>
      </c>
      <c r="AD5" s="1">
        <f t="shared" si="1"/>
        <v>483058.81872078765</v>
      </c>
      <c r="AE5" s="1">
        <f t="shared" si="1"/>
        <v>244868.662952755</v>
      </c>
      <c r="AF5" s="1">
        <f t="shared" si="1"/>
        <v>605266.63238188764</v>
      </c>
      <c r="AG5" s="1">
        <f t="shared" si="1"/>
        <v>267526.58751410717</v>
      </c>
      <c r="AH5" s="1">
        <f t="shared" si="1"/>
        <v>89206.285053039959</v>
      </c>
      <c r="AI5" s="1">
        <f t="shared" si="1"/>
        <v>103192.4372745076</v>
      </c>
      <c r="AJ5" s="1">
        <f t="shared" si="1"/>
        <v>71695.108279002539</v>
      </c>
      <c r="AK5" s="1">
        <f t="shared" si="1"/>
        <v>138123.6471549916</v>
      </c>
      <c r="AL5" s="1">
        <f t="shared" si="1"/>
        <v>184695.03720122593</v>
      </c>
      <c r="AM5" s="1">
        <f t="shared" si="1"/>
        <v>170577.05021267929</v>
      </c>
      <c r="AN5" s="1">
        <f t="shared" si="1"/>
        <v>185438.90414062256</v>
      </c>
      <c r="AO5" s="1">
        <f t="shared" si="1"/>
        <v>97830.551727729879</v>
      </c>
      <c r="AP5" s="1">
        <f t="shared" si="1"/>
        <v>121850.25496240628</v>
      </c>
      <c r="AQ5" s="1">
        <f t="shared" si="1"/>
        <v>90592.280004826418</v>
      </c>
      <c r="AR5" s="1">
        <f t="shared" si="1"/>
        <v>141987.82915273448</v>
      </c>
      <c r="AS5" s="1">
        <f t="shared" si="1"/>
        <v>102515.03102087471</v>
      </c>
      <c r="AT5" s="1">
        <f t="shared" si="1"/>
        <v>128102.31679247835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5.75" customHeight="1" x14ac:dyDescent="0.2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 t="shared" ref="Z6:AT6" si="2">Z17*Z28*Z39</f>
        <v>5299.9999999999882</v>
      </c>
      <c r="AA6" s="1">
        <f t="shared" si="2"/>
        <v>16001.94375</v>
      </c>
      <c r="AB6" s="1">
        <f t="shared" si="2"/>
        <v>35058.427350000005</v>
      </c>
      <c r="AC6" s="1">
        <f t="shared" si="2"/>
        <v>17801.824840223817</v>
      </c>
      <c r="AD6" s="1">
        <f t="shared" si="2"/>
        <v>133758.31468019687</v>
      </c>
      <c r="AE6" s="1">
        <f t="shared" si="2"/>
        <v>47109.288800524759</v>
      </c>
      <c r="AF6" s="1">
        <f t="shared" si="2"/>
        <v>112712.72640157427</v>
      </c>
      <c r="AG6" s="1">
        <f t="shared" si="2"/>
        <v>58633.042002821414</v>
      </c>
      <c r="AH6" s="1">
        <f t="shared" si="2"/>
        <v>21861.804158573847</v>
      </c>
      <c r="AI6" s="1">
        <f t="shared" si="2"/>
        <v>24778.189925196784</v>
      </c>
      <c r="AJ6" s="1">
        <f t="shared" si="2"/>
        <v>18513.7312250656</v>
      </c>
      <c r="AK6" s="1">
        <f t="shared" si="2"/>
        <v>34429.829574777759</v>
      </c>
      <c r="AL6" s="1">
        <f t="shared" si="2"/>
        <v>50506.493998128055</v>
      </c>
      <c r="AM6" s="1">
        <f t="shared" si="2"/>
        <v>38831.530311740891</v>
      </c>
      <c r="AN6" s="1">
        <f t="shared" si="2"/>
        <v>55815.181888526815</v>
      </c>
      <c r="AO6" s="1">
        <f t="shared" si="2"/>
        <v>31906.460200202462</v>
      </c>
      <c r="AP6" s="1">
        <f t="shared" si="2"/>
        <v>43162.590532843053</v>
      </c>
      <c r="AQ6" s="1">
        <f t="shared" si="2"/>
        <v>34654.494275728415</v>
      </c>
      <c r="AR6" s="1">
        <f t="shared" si="2"/>
        <v>52618.157885084343</v>
      </c>
      <c r="AS6" s="1">
        <f t="shared" si="2"/>
        <v>39680.887413488483</v>
      </c>
      <c r="AT6" s="1">
        <f t="shared" si="2"/>
        <v>64711.901031597794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5.75" customHeight="1" x14ac:dyDescent="0.2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 t="shared" ref="Z7:AT7" si="3">Z18*Z29*Z40</f>
        <v>12186.999999999971</v>
      </c>
      <c r="AA7" s="1">
        <f t="shared" si="3"/>
        <v>49202.15625</v>
      </c>
      <c r="AB7" s="1">
        <f t="shared" si="3"/>
        <v>90960.270049999977</v>
      </c>
      <c r="AC7" s="1">
        <f t="shared" si="3"/>
        <v>47471.532907263507</v>
      </c>
      <c r="AD7" s="1">
        <f t="shared" si="3"/>
        <v>291917.24873111962</v>
      </c>
      <c r="AE7" s="1">
        <f t="shared" si="3"/>
        <v>111245.81354120695</v>
      </c>
      <c r="AF7" s="1">
        <f t="shared" si="3"/>
        <v>293040.16062362085</v>
      </c>
      <c r="AG7" s="1">
        <f t="shared" si="3"/>
        <v>137788.66393148925</v>
      </c>
      <c r="AH7" s="1">
        <f t="shared" si="3"/>
        <v>108827.00187884491</v>
      </c>
      <c r="AI7" s="1">
        <f t="shared" si="3"/>
        <v>137611.1692509003</v>
      </c>
      <c r="AJ7" s="1">
        <f t="shared" si="3"/>
        <v>112984.41607842513</v>
      </c>
      <c r="AK7" s="1">
        <f t="shared" si="3"/>
        <v>127649.92041005958</v>
      </c>
      <c r="AL7" s="1">
        <f t="shared" si="3"/>
        <v>149946.66445756797</v>
      </c>
      <c r="AM7" s="1">
        <f t="shared" si="3"/>
        <v>126785.07850143503</v>
      </c>
      <c r="AN7" s="1">
        <f t="shared" si="3"/>
        <v>146156.702688499</v>
      </c>
      <c r="AO7" s="1">
        <f t="shared" si="3"/>
        <v>81227.270028582017</v>
      </c>
      <c r="AP7" s="1">
        <f t="shared" si="3"/>
        <v>114454.05356902245</v>
      </c>
      <c r="AQ7" s="1">
        <f t="shared" si="3"/>
        <v>86334.776298790603</v>
      </c>
      <c r="AR7" s="1">
        <f t="shared" si="3"/>
        <v>133417.61251746668</v>
      </c>
      <c r="AS7" s="1">
        <f t="shared" si="3"/>
        <v>97916.117131298859</v>
      </c>
      <c r="AT7" s="1">
        <f t="shared" si="3"/>
        <v>138707.27898055236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5.75" customHeight="1" x14ac:dyDescent="0.2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 t="shared" ref="Z8:AT8" si="4">Z19*Z30*Z41</f>
        <v>3516.9999999999741</v>
      </c>
      <c r="AA8" s="1">
        <f t="shared" si="4"/>
        <v>50821.509375000001</v>
      </c>
      <c r="AB8" s="1">
        <f t="shared" si="4"/>
        <v>60348.140599999999</v>
      </c>
      <c r="AC8" s="1">
        <f t="shared" si="4"/>
        <v>23735.766453631761</v>
      </c>
      <c r="AD8" s="1">
        <f t="shared" si="4"/>
        <v>157044.30339280452</v>
      </c>
      <c r="AE8" s="1">
        <f t="shared" si="4"/>
        <v>50165.530860367333</v>
      </c>
      <c r="AF8" s="1">
        <f t="shared" si="4"/>
        <v>101440.29258110198</v>
      </c>
      <c r="AG8" s="1">
        <f t="shared" si="4"/>
        <v>81918.285139475003</v>
      </c>
      <c r="AH8" s="1">
        <f t="shared" si="4"/>
        <v>19091.236608486382</v>
      </c>
      <c r="AI8" s="1">
        <f t="shared" si="4"/>
        <v>26158.868197637748</v>
      </c>
      <c r="AJ8" s="1">
        <f t="shared" si="4"/>
        <v>21732.393982545917</v>
      </c>
      <c r="AK8" s="1">
        <f t="shared" si="4"/>
        <v>66458.424543427682</v>
      </c>
      <c r="AL8" s="1">
        <f t="shared" si="4"/>
        <v>134887.04283281852</v>
      </c>
      <c r="AM8" s="1">
        <f t="shared" si="4"/>
        <v>73156.121651249297</v>
      </c>
      <c r="AN8" s="1">
        <f t="shared" si="4"/>
        <v>133061.99526745611</v>
      </c>
      <c r="AO8" s="1">
        <f t="shared" si="4"/>
        <v>48331.821625707344</v>
      </c>
      <c r="AP8" s="1">
        <f t="shared" si="4"/>
        <v>105199.71962597249</v>
      </c>
      <c r="AQ8" s="1">
        <f t="shared" si="4"/>
        <v>50831.342193191726</v>
      </c>
      <c r="AR8" s="1">
        <f t="shared" si="4"/>
        <v>117649.23865260642</v>
      </c>
      <c r="AS8" s="1">
        <f t="shared" si="4"/>
        <v>54227.654056660394</v>
      </c>
      <c r="AT8" s="1">
        <f t="shared" si="4"/>
        <v>120678.20308585466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5.75" customHeight="1" x14ac:dyDescent="0.2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 t="shared" ref="Z9:AT9" si="5">SUBTOTAL(109,Z4:Z8)</f>
        <v>124123.99999999968</v>
      </c>
      <c r="AA9" s="1">
        <f t="shared" si="5"/>
        <v>406365.87937500002</v>
      </c>
      <c r="AB9" s="1">
        <f t="shared" si="5"/>
        <v>828264.65800000005</v>
      </c>
      <c r="AC9" s="1">
        <f t="shared" si="5"/>
        <v>278481.58057998336</v>
      </c>
      <c r="AD9" s="1">
        <f t="shared" si="5"/>
        <v>1679492.2884898975</v>
      </c>
      <c r="AE9" s="1">
        <f t="shared" si="5"/>
        <v>786164.12715747778</v>
      </c>
      <c r="AF9" s="1">
        <f t="shared" si="5"/>
        <v>1798328.7317440882</v>
      </c>
      <c r="AG9" s="1">
        <f t="shared" si="5"/>
        <v>844276.10631427018</v>
      </c>
      <c r="AH9" s="1">
        <f t="shared" si="5"/>
        <v>532341.26530502492</v>
      </c>
      <c r="AI9" s="1">
        <f t="shared" si="5"/>
        <v>609341.04647772026</v>
      </c>
      <c r="AJ9" s="1">
        <f t="shared" si="5"/>
        <v>489186.78939361533</v>
      </c>
      <c r="AK9" s="1">
        <f t="shared" si="5"/>
        <v>631634.18665774411</v>
      </c>
      <c r="AL9" s="1">
        <f t="shared" si="5"/>
        <v>870840.51836856105</v>
      </c>
      <c r="AM9" s="1">
        <f t="shared" si="5"/>
        <v>786315.3447273483</v>
      </c>
      <c r="AN9" s="1">
        <f t="shared" si="5"/>
        <v>866584.87170738052</v>
      </c>
      <c r="AO9" s="1">
        <f t="shared" si="5"/>
        <v>526039.8470559119</v>
      </c>
      <c r="AP9" s="1">
        <f t="shared" si="5"/>
        <v>711384.92030805117</v>
      </c>
      <c r="AQ9" s="1">
        <f t="shared" si="5"/>
        <v>531740.12410623557</v>
      </c>
      <c r="AR9" s="1">
        <f t="shared" si="5"/>
        <v>829574.12688751076</v>
      </c>
      <c r="AS9" s="1">
        <f t="shared" si="5"/>
        <v>559522.73598853115</v>
      </c>
      <c r="AT9" s="1">
        <f t="shared" si="5"/>
        <v>784022.28451475955</v>
      </c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</row>
    <row r="11" spans="2:88" ht="15.75" customHeight="1" x14ac:dyDescent="0.25">
      <c r="W11" s="1" t="s">
        <v>97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  <c r="AJ11" t="s">
        <v>98</v>
      </c>
      <c r="AK11" t="s">
        <v>99</v>
      </c>
      <c r="AL11" t="s">
        <v>100</v>
      </c>
      <c r="AM11" t="s">
        <v>101</v>
      </c>
    </row>
    <row r="13" spans="2:88" x14ac:dyDescent="0.25">
      <c r="B13" t="s">
        <v>94</v>
      </c>
    </row>
    <row r="14" spans="2:88" x14ac:dyDescent="0.2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5.75" customHeight="1" x14ac:dyDescent="0.2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</v>
      </c>
      <c r="AD15" s="1">
        <v>3506934.8740856508</v>
      </c>
      <c r="AE15" s="1">
        <v>2773123.591688531</v>
      </c>
      <c r="AF15" s="1">
        <v>2540255.258355198</v>
      </c>
      <c r="AG15" s="2">
        <v>1105220.473060657</v>
      </c>
      <c r="AH15" s="2">
        <v>1676313.929177599</v>
      </c>
      <c r="AI15" s="1">
        <v>1539880.639173226</v>
      </c>
      <c r="AJ15" s="1">
        <v>1281266.132502187</v>
      </c>
      <c r="AK15" s="1">
        <v>1180637.688888889</v>
      </c>
      <c r="AL15" s="1">
        <v>1291804.555555556</v>
      </c>
      <c r="AM15" s="1">
        <v>1679645.922222222</v>
      </c>
      <c r="AN15" s="1">
        <v>1274522.355555556</v>
      </c>
      <c r="AO15" s="1">
        <v>1188530.422222222</v>
      </c>
      <c r="AP15" s="1">
        <v>1203106.722222222</v>
      </c>
      <c r="AQ15" s="1">
        <v>1200041.672222222</v>
      </c>
      <c r="AR15" s="1">
        <v>1413677.222222222</v>
      </c>
      <c r="AS15" s="2">
        <v>1181576.422222222</v>
      </c>
      <c r="AT15" s="2">
        <v>1221902.722222222</v>
      </c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</row>
    <row r="16" spans="2:88" ht="15.75" customHeight="1" x14ac:dyDescent="0.2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1120294.7582123911</v>
      </c>
      <c r="AD16" s="1">
        <v>3450420.1337199118</v>
      </c>
      <c r="AE16" s="1">
        <v>2720762.921697278</v>
      </c>
      <c r="AF16" s="1">
        <v>2690073.921697278</v>
      </c>
      <c r="AG16" s="1">
        <v>1189007.055618254</v>
      </c>
      <c r="AH16" s="1">
        <v>1427300.5608486391</v>
      </c>
      <c r="AI16" s="1">
        <v>1250817.421509183</v>
      </c>
      <c r="AJ16" s="1">
        <v>869031.6155030611</v>
      </c>
      <c r="AK16" s="1">
        <v>1474744.5444444439</v>
      </c>
      <c r="AL16" s="1">
        <v>1629741.0944444439</v>
      </c>
      <c r="AM16" s="1">
        <v>1821249.144444444</v>
      </c>
      <c r="AN16" s="1">
        <v>1636304.944444444</v>
      </c>
      <c r="AO16" s="1">
        <v>1044535.641884444</v>
      </c>
      <c r="AP16" s="1">
        <v>1075201.4287444451</v>
      </c>
      <c r="AQ16" s="1">
        <v>967252.70044444443</v>
      </c>
      <c r="AR16" s="1">
        <v>1252894.520544444</v>
      </c>
      <c r="AS16" s="1">
        <v>1094551.771804444</v>
      </c>
      <c r="AT16" s="1">
        <v>1130369.3544444451</v>
      </c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</row>
    <row r="17" spans="2:88" ht="15.75" customHeight="1" x14ac:dyDescent="0.2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1091904.6096342599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246849.7496675413</v>
      </c>
      <c r="AK17" s="1">
        <v>514037.93403995328</v>
      </c>
      <c r="AL17" s="1">
        <v>623192.4</v>
      </c>
      <c r="AM17" s="1">
        <v>579755.4</v>
      </c>
      <c r="AN17" s="1">
        <v>688695.54</v>
      </c>
      <c r="AO17" s="1">
        <v>476363.98687999998</v>
      </c>
      <c r="AP17" s="1">
        <v>532577.0263399533</v>
      </c>
      <c r="AQ17" s="1">
        <v>517392.18179995328</v>
      </c>
      <c r="AR17" s="1">
        <v>649247.91843995336</v>
      </c>
      <c r="AS17" s="1">
        <v>592436.3157999533</v>
      </c>
      <c r="AT17" s="1">
        <v>798470.88403995335</v>
      </c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</row>
    <row r="18" spans="2:88" ht="15.75" customHeight="1" x14ac:dyDescent="0.2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1295559.5461767251</v>
      </c>
      <c r="AI18" s="1">
        <v>1164962.279372701</v>
      </c>
      <c r="AJ18" s="1">
        <v>956481.82923534489</v>
      </c>
      <c r="AK18" s="1">
        <v>1336375.990740987</v>
      </c>
      <c r="AL18" s="1">
        <v>1297357.166666667</v>
      </c>
      <c r="AM18" s="1">
        <v>1327321.8999999999</v>
      </c>
      <c r="AN18" s="1">
        <v>1264565.946666667</v>
      </c>
      <c r="AO18" s="1">
        <v>850374.00032000011</v>
      </c>
      <c r="AP18" s="1">
        <v>990270.68850765319</v>
      </c>
      <c r="AQ18" s="1">
        <v>903844.84252765332</v>
      </c>
      <c r="AR18" s="1">
        <v>1154345.756107653</v>
      </c>
      <c r="AS18" s="1">
        <v>1025090.713887653</v>
      </c>
      <c r="AT18" s="1">
        <v>1200112.607407653</v>
      </c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</row>
    <row r="19" spans="2:88" ht="15.75" customHeight="1" x14ac:dyDescent="0.2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395596.10756052932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381824.73216972768</v>
      </c>
      <c r="AI19" s="1">
        <v>348784.90930183668</v>
      </c>
      <c r="AJ19" s="1">
        <v>289765.2531006122</v>
      </c>
      <c r="AK19" s="1">
        <v>825971.89056297007</v>
      </c>
      <c r="AL19" s="1">
        <v>960171.9</v>
      </c>
      <c r="AM19" s="1">
        <v>909213.55</v>
      </c>
      <c r="AN19" s="1">
        <v>947180.59000000008</v>
      </c>
      <c r="AO19" s="1">
        <v>600687.21696000011</v>
      </c>
      <c r="AP19" s="1">
        <v>748847.42486297013</v>
      </c>
      <c r="AQ19" s="1">
        <v>631752.25864297012</v>
      </c>
      <c r="AR19" s="1">
        <v>837467.34036297002</v>
      </c>
      <c r="AS19" s="1">
        <v>673962.98136297008</v>
      </c>
      <c r="AT19" s="1">
        <v>859028.5405629701</v>
      </c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</row>
    <row r="20" spans="2:88" ht="15.75" customHeight="1" x14ac:dyDescent="0.2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 t="shared" ref="Z20:AT20" si="6">SUM(Z15:Z19)</f>
        <v>2683597</v>
      </c>
      <c r="AA20" s="1">
        <f t="shared" si="6"/>
        <v>3476319</v>
      </c>
      <c r="AB20" s="1">
        <f t="shared" si="6"/>
        <v>7223885.166666667</v>
      </c>
      <c r="AC20" s="1">
        <f t="shared" si="6"/>
        <v>3608069.2045447091</v>
      </c>
      <c r="AD20" s="1">
        <f t="shared" si="6"/>
        <v>11714251.879675938</v>
      </c>
      <c r="AE20" s="1">
        <f t="shared" si="6"/>
        <v>8969230.400087459</v>
      </c>
      <c r="AF20" s="1">
        <f t="shared" si="6"/>
        <v>8048069.0667541269</v>
      </c>
      <c r="AG20" s="2">
        <f t="shared" si="6"/>
        <v>4061465.5672426294</v>
      </c>
      <c r="AH20" s="2">
        <f t="shared" si="6"/>
        <v>5178486.1167103974</v>
      </c>
      <c r="AI20" s="1">
        <f t="shared" si="6"/>
        <v>4634821.1150262374</v>
      </c>
      <c r="AJ20" s="1">
        <f t="shared" si="6"/>
        <v>3643394.5800087461</v>
      </c>
      <c r="AK20" s="1">
        <f t="shared" si="6"/>
        <v>5331768.0486772433</v>
      </c>
      <c r="AL20" s="1">
        <f t="shared" si="6"/>
        <v>5802267.1166666672</v>
      </c>
      <c r="AM20" s="1">
        <f t="shared" si="6"/>
        <v>6317185.9166666651</v>
      </c>
      <c r="AN20" s="1">
        <f t="shared" si="6"/>
        <v>5811269.3766666669</v>
      </c>
      <c r="AO20" s="1">
        <f t="shared" si="6"/>
        <v>4160491.2682666667</v>
      </c>
      <c r="AP20" s="1">
        <f t="shared" si="6"/>
        <v>4550003.2906772438</v>
      </c>
      <c r="AQ20" s="1">
        <f t="shared" si="6"/>
        <v>4220283.6556372438</v>
      </c>
      <c r="AR20" s="1">
        <f t="shared" si="6"/>
        <v>5307632.7576772422</v>
      </c>
      <c r="AS20" s="2">
        <f t="shared" si="6"/>
        <v>4567618.2050772421</v>
      </c>
      <c r="AT20" s="2">
        <f t="shared" si="6"/>
        <v>5209884.1086772438</v>
      </c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</row>
    <row r="24" spans="2:88" x14ac:dyDescent="0.25">
      <c r="B24" t="s">
        <v>102</v>
      </c>
    </row>
    <row r="25" spans="2:88" x14ac:dyDescent="0.2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5.75" customHeight="1" x14ac:dyDescent="0.2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2.5582525859249351E-2</v>
      </c>
      <c r="AL26" s="47">
        <v>2.8140778445174291E-2</v>
      </c>
      <c r="AM26" s="45">
        <v>2.5582525859249351E-2</v>
      </c>
      <c r="AN26" s="47">
        <v>2.8140778445174291E-2</v>
      </c>
      <c r="AO26" s="45">
        <v>2.5582525859249351E-2</v>
      </c>
      <c r="AP26" s="47">
        <v>2.8140778445174291E-2</v>
      </c>
      <c r="AQ26" s="45">
        <v>2.5582525859249351E-2</v>
      </c>
      <c r="AR26" s="47">
        <v>2.8140778445174291E-2</v>
      </c>
      <c r="AS26" s="45">
        <v>2.5582525859249351E-2</v>
      </c>
      <c r="AT26" s="47">
        <v>2.8140778445174291E-2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5.75" customHeight="1" x14ac:dyDescent="0.2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1.6665091291966781E-2</v>
      </c>
      <c r="AL27" s="46">
        <v>1.8331600421163469E-2</v>
      </c>
      <c r="AM27" s="45">
        <v>1.6665091291966781E-2</v>
      </c>
      <c r="AN27" s="46">
        <v>1.8331600421163469E-2</v>
      </c>
      <c r="AO27" s="45">
        <v>1.6665091291966781E-2</v>
      </c>
      <c r="AP27" s="46">
        <v>1.8331600421163469E-2</v>
      </c>
      <c r="AQ27" s="45">
        <v>1.6665091291966781E-2</v>
      </c>
      <c r="AR27" s="46">
        <v>1.8331600421163469E-2</v>
      </c>
      <c r="AS27" s="45">
        <v>1.6665091291966781E-2</v>
      </c>
      <c r="AT27" s="46">
        <v>1.8331600421163469E-2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5.75" customHeight="1" x14ac:dyDescent="0.2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9.9993739328912545E-3</v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5.75" customHeight="1" x14ac:dyDescent="0.2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1.1086078152387289E-2</v>
      </c>
      <c r="AL29" s="46">
        <v>1.2194685967626019E-2</v>
      </c>
      <c r="AM29" s="45">
        <v>1.1086078152387289E-2</v>
      </c>
      <c r="AN29" s="46">
        <v>1.2194685967626019E-2</v>
      </c>
      <c r="AO29" s="45">
        <v>1.1086078152387289E-2</v>
      </c>
      <c r="AP29" s="46">
        <v>1.2194685967626019E-2</v>
      </c>
      <c r="AQ29" s="45">
        <v>1.1086078152387289E-2</v>
      </c>
      <c r="AR29" s="46">
        <v>1.2194685967626019E-2</v>
      </c>
      <c r="AS29" s="45">
        <v>1.1086078152387289E-2</v>
      </c>
      <c r="AT29" s="46">
        <v>1.2194685967626019E-2</v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5.75" customHeight="1" x14ac:dyDescent="0.2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1.0395375027810761E-2</v>
      </c>
      <c r="AL30" s="46">
        <v>1.6500000000000001E-2</v>
      </c>
      <c r="AM30" s="45">
        <v>1.0395375027810761E-2</v>
      </c>
      <c r="AN30" s="46">
        <v>1.6500000000000001E-2</v>
      </c>
      <c r="AO30" s="45">
        <v>1.0395375027810761E-2</v>
      </c>
      <c r="AP30" s="46">
        <v>1.6500000000000001E-2</v>
      </c>
      <c r="AQ30" s="45">
        <v>1.0395375027810761E-2</v>
      </c>
      <c r="AR30" s="46">
        <v>1.6500000000000001E-2</v>
      </c>
      <c r="AS30" s="45">
        <v>1.0395375027810761E-2</v>
      </c>
      <c r="AT30" s="46">
        <v>1.6500000000000001E-2</v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5.75" customHeight="1" x14ac:dyDescent="0.2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 t="shared" ref="Z31:AT31" si="7">(Z26*Z15+Z16*Z27+Z17*Z28+Z18*Z29+Z19*Z30)/Z20</f>
        <v>8.4021557633280827E-3</v>
      </c>
      <c r="AA31" s="45">
        <f t="shared" si="7"/>
        <v>1.6138197472671523E-2</v>
      </c>
      <c r="AB31" s="45">
        <f t="shared" si="7"/>
        <v>1.6003029290955643E-2</v>
      </c>
      <c r="AC31" s="45">
        <f t="shared" si="7"/>
        <v>1.2863832186164333E-2</v>
      </c>
      <c r="AD31" s="45">
        <f t="shared" si="7"/>
        <v>2.0481672431898267E-2</v>
      </c>
      <c r="AE31" s="45">
        <f t="shared" si="7"/>
        <v>1.4608539270545291E-2</v>
      </c>
      <c r="AF31" s="45">
        <f t="shared" si="7"/>
        <v>2.4827607947915907E-2</v>
      </c>
      <c r="AG31" s="45">
        <f t="shared" si="7"/>
        <v>2.3097193538643899E-2</v>
      </c>
      <c r="AH31" s="45">
        <f t="shared" si="7"/>
        <v>1.6545387543884005E-2</v>
      </c>
      <c r="AI31" s="45">
        <f t="shared" si="7"/>
        <v>1.9415059663107064E-2</v>
      </c>
      <c r="AJ31" s="45">
        <f t="shared" si="7"/>
        <v>1.968395430351778E-2</v>
      </c>
      <c r="AK31" s="45">
        <f t="shared" si="7"/>
        <v>1.5539813757197722E-2</v>
      </c>
      <c r="AL31" s="45">
        <f t="shared" si="7"/>
        <v>1.7945292703201769E-2</v>
      </c>
      <c r="AM31" s="45">
        <f t="shared" si="7"/>
        <v>1.6266333406931857E-2</v>
      </c>
      <c r="AN31" s="45">
        <f t="shared" si="7"/>
        <v>1.7861524132220967E-2</v>
      </c>
      <c r="AO31" s="45">
        <f t="shared" si="7"/>
        <v>1.6299729963241669E-2</v>
      </c>
      <c r="AP31" s="45">
        <f t="shared" si="7"/>
        <v>1.8312949853171511E-2</v>
      </c>
      <c r="AQ31" s="45">
        <f t="shared" si="7"/>
        <v>1.6138753755478987E-2</v>
      </c>
      <c r="AR31" s="45">
        <f t="shared" si="7"/>
        <v>1.8301324051658102E-2</v>
      </c>
      <c r="AS31" s="45">
        <f t="shared" si="7"/>
        <v>1.5812244489524521E-2</v>
      </c>
      <c r="AT31" s="45">
        <f t="shared" si="7"/>
        <v>1.7639538124275798E-2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25">
      <c r="B35" t="s">
        <v>96</v>
      </c>
    </row>
    <row r="36" spans="2:88" x14ac:dyDescent="0.2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5.75" customHeight="1" x14ac:dyDescent="0.2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9.6501308575072589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5.75" customHeight="1" x14ac:dyDescent="0.2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6.1821028666742777</v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5.75" customHeight="1" x14ac:dyDescent="0.2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8.1049859147147405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5.75" customHeight="1" x14ac:dyDescent="0.2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9.4777802087649299</v>
      </c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5.75" customHeight="1" x14ac:dyDescent="0.2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8.5140715874918769</v>
      </c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5.75" customHeight="1" x14ac:dyDescent="0.25">
      <c r="B42" s="40" t="s">
        <v>93</v>
      </c>
      <c r="C42" s="34"/>
      <c r="D42" s="34"/>
      <c r="E42" s="34"/>
      <c r="L42" s="34"/>
      <c r="M42" s="34"/>
      <c r="Z42" s="39">
        <f t="shared" ref="Z42:AT42" si="8">SUM(Z4:Z8)/SUMPRODUCT(Z15:Z19,Z26:Z30)</f>
        <v>5.5048784814617679</v>
      </c>
      <c r="AA42" s="39">
        <f t="shared" si="8"/>
        <v>7.243401983876641</v>
      </c>
      <c r="AB42" s="39">
        <f t="shared" si="8"/>
        <v>7.1646684286210514</v>
      </c>
      <c r="AC42" s="39">
        <f t="shared" si="8"/>
        <v>5.9999999999999991</v>
      </c>
      <c r="AD42" s="39">
        <f t="shared" si="8"/>
        <v>6.9999999999999991</v>
      </c>
      <c r="AE42" s="39">
        <f t="shared" si="8"/>
        <v>6</v>
      </c>
      <c r="AF42" s="39">
        <f t="shared" si="8"/>
        <v>9</v>
      </c>
      <c r="AG42" s="39">
        <f t="shared" si="8"/>
        <v>9</v>
      </c>
      <c r="AH42" s="39">
        <f t="shared" si="8"/>
        <v>6.2131290199980711</v>
      </c>
      <c r="AI42" s="39">
        <f t="shared" si="8"/>
        <v>6.7715599509070232</v>
      </c>
      <c r="AJ42" s="39">
        <f t="shared" si="8"/>
        <v>6.8211274500342691</v>
      </c>
      <c r="AK42" s="39">
        <f t="shared" si="8"/>
        <v>7.6233975896704331</v>
      </c>
      <c r="AL42" s="39">
        <f t="shared" si="8"/>
        <v>8.3635443233414044</v>
      </c>
      <c r="AM42" s="39">
        <f t="shared" si="8"/>
        <v>7.6521490852459433</v>
      </c>
      <c r="AN42" s="39">
        <f t="shared" si="8"/>
        <v>8.3487523970830839</v>
      </c>
      <c r="AO42" s="39">
        <f t="shared" si="8"/>
        <v>7.7569969094693567</v>
      </c>
      <c r="AP42" s="39">
        <f t="shared" si="8"/>
        <v>8.5375770868229814</v>
      </c>
      <c r="AQ42" s="39">
        <f t="shared" si="8"/>
        <v>7.8070650041718794</v>
      </c>
      <c r="AR42" s="39">
        <f t="shared" si="8"/>
        <v>8.5402743424211565</v>
      </c>
      <c r="AS42" s="39">
        <f t="shared" si="8"/>
        <v>7.7470154584602655</v>
      </c>
      <c r="AT42" s="39">
        <f t="shared" si="8"/>
        <v>8.5312591572816228</v>
      </c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25">
      <c r="E45" s="37"/>
      <c r="F45" s="37"/>
      <c r="G45" s="37"/>
    </row>
    <row r="46" spans="2:88" ht="15.75" customHeight="1" x14ac:dyDescent="0.25">
      <c r="E46" s="36"/>
      <c r="F46" s="36"/>
      <c r="G46" s="36"/>
    </row>
    <row r="47" spans="2:88" x14ac:dyDescent="0.25">
      <c r="E47" s="35"/>
      <c r="F47" s="35"/>
      <c r="G47" s="35"/>
    </row>
    <row r="48" spans="2:88" x14ac:dyDescent="0.2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5"/>
  <sheetViews>
    <sheetView workbookViewId="0">
      <selection activeCell="P24" sqref="P24"/>
    </sheetView>
  </sheetViews>
  <sheetFormatPr defaultRowHeight="15" x14ac:dyDescent="0.25"/>
  <sheetData>
    <row r="1" spans="1:40" x14ac:dyDescent="0.25">
      <c r="A1" t="s">
        <v>103</v>
      </c>
    </row>
    <row r="2" spans="1:40" x14ac:dyDescent="0.25">
      <c r="A2" t="s">
        <v>1</v>
      </c>
      <c r="B2" t="s">
        <v>4</v>
      </c>
      <c r="C2" t="s">
        <v>5</v>
      </c>
      <c r="D2" t="s">
        <v>6</v>
      </c>
      <c r="E2" t="s">
        <v>8</v>
      </c>
      <c r="F2" t="s">
        <v>9</v>
      </c>
      <c r="G2" t="s">
        <v>11</v>
      </c>
      <c r="H2" t="s">
        <v>13</v>
      </c>
      <c r="I2" t="s">
        <v>15</v>
      </c>
      <c r="J2" t="s">
        <v>16</v>
      </c>
      <c r="K2" t="s">
        <v>18</v>
      </c>
      <c r="L2" t="s">
        <v>19</v>
      </c>
      <c r="M2" t="s">
        <v>20</v>
      </c>
      <c r="N2" t="s">
        <v>22</v>
      </c>
      <c r="O2" t="s">
        <v>23</v>
      </c>
      <c r="P2" t="s">
        <v>24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104</v>
      </c>
      <c r="AB2" t="s">
        <v>105</v>
      </c>
      <c r="AC2" t="s">
        <v>106</v>
      </c>
      <c r="AD2" t="s">
        <v>107</v>
      </c>
      <c r="AE2" t="s">
        <v>108</v>
      </c>
      <c r="AF2" t="s">
        <v>109</v>
      </c>
      <c r="AG2" t="s">
        <v>110</v>
      </c>
      <c r="AH2" t="s">
        <v>111</v>
      </c>
      <c r="AI2" t="s">
        <v>112</v>
      </c>
      <c r="AJ2" t="s">
        <v>113</v>
      </c>
      <c r="AK2" t="s">
        <v>114</v>
      </c>
      <c r="AL2" t="s">
        <v>115</v>
      </c>
      <c r="AM2" t="s">
        <v>116</v>
      </c>
      <c r="AN2" t="s">
        <v>117</v>
      </c>
    </row>
    <row r="3" spans="1:40" x14ac:dyDescent="0.25">
      <c r="A3" t="s">
        <v>88</v>
      </c>
      <c r="B3">
        <v>1</v>
      </c>
      <c r="C3">
        <v>1</v>
      </c>
      <c r="D3">
        <v>1</v>
      </c>
      <c r="E3">
        <v>1</v>
      </c>
      <c r="F3">
        <v>1</v>
      </c>
      <c r="G3">
        <v>3</v>
      </c>
      <c r="H3">
        <v>1</v>
      </c>
      <c r="I3">
        <v>1</v>
      </c>
      <c r="J3">
        <v>1</v>
      </c>
      <c r="K3">
        <v>1</v>
      </c>
      <c r="L3">
        <v>3</v>
      </c>
      <c r="M3">
        <v>3</v>
      </c>
      <c r="N3">
        <v>1</v>
      </c>
      <c r="O3">
        <v>1</v>
      </c>
      <c r="P3">
        <v>3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3</v>
      </c>
      <c r="X3">
        <v>1</v>
      </c>
      <c r="Y3">
        <v>1</v>
      </c>
      <c r="Z3">
        <v>1</v>
      </c>
      <c r="AA3">
        <v>1</v>
      </c>
      <c r="AB3">
        <v>2</v>
      </c>
      <c r="AC3">
        <v>2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3</v>
      </c>
      <c r="AL3">
        <v>3</v>
      </c>
      <c r="AM3">
        <v>1</v>
      </c>
      <c r="AN3">
        <v>1</v>
      </c>
    </row>
    <row r="4" spans="1:40" x14ac:dyDescent="0.25">
      <c r="A4" t="s">
        <v>89</v>
      </c>
      <c r="B4">
        <v>0</v>
      </c>
      <c r="C4">
        <v>0</v>
      </c>
      <c r="D4">
        <v>0</v>
      </c>
      <c r="E4">
        <v>1</v>
      </c>
      <c r="F4">
        <v>1</v>
      </c>
      <c r="G4">
        <v>3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2</v>
      </c>
      <c r="P4">
        <v>3</v>
      </c>
      <c r="Q4">
        <v>1</v>
      </c>
      <c r="R4">
        <v>1</v>
      </c>
      <c r="S4">
        <v>2</v>
      </c>
      <c r="T4">
        <v>3</v>
      </c>
      <c r="U4">
        <v>2</v>
      </c>
      <c r="V4">
        <v>2</v>
      </c>
      <c r="W4">
        <v>3</v>
      </c>
      <c r="X4">
        <v>1</v>
      </c>
      <c r="Y4">
        <v>1</v>
      </c>
      <c r="Z4">
        <v>1</v>
      </c>
      <c r="AA4">
        <v>1</v>
      </c>
      <c r="AB4">
        <v>2</v>
      </c>
      <c r="AC4">
        <v>2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3</v>
      </c>
      <c r="AL4">
        <v>3</v>
      </c>
      <c r="AM4">
        <v>1</v>
      </c>
      <c r="AN4">
        <v>1</v>
      </c>
    </row>
    <row r="5" spans="1:40" x14ac:dyDescent="0.25">
      <c r="A5" t="s">
        <v>90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3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3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3</v>
      </c>
      <c r="AL5">
        <v>3</v>
      </c>
      <c r="AM5">
        <v>1</v>
      </c>
      <c r="AN5">
        <v>1</v>
      </c>
    </row>
    <row r="6" spans="1:40" x14ac:dyDescent="0.25">
      <c r="A6" t="s">
        <v>91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3</v>
      </c>
      <c r="Q6">
        <v>0</v>
      </c>
      <c r="R6">
        <v>0</v>
      </c>
      <c r="S6">
        <v>0</v>
      </c>
      <c r="T6">
        <v>2</v>
      </c>
      <c r="U6">
        <v>1</v>
      </c>
      <c r="V6">
        <v>3</v>
      </c>
      <c r="W6">
        <v>3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3</v>
      </c>
      <c r="AL6">
        <v>3</v>
      </c>
      <c r="AM6">
        <v>1</v>
      </c>
      <c r="AN6">
        <v>1</v>
      </c>
    </row>
    <row r="7" spans="1:40" x14ac:dyDescent="0.25">
      <c r="A7" t="s">
        <v>92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3</v>
      </c>
      <c r="Q7">
        <v>0</v>
      </c>
      <c r="R7">
        <v>0</v>
      </c>
      <c r="S7">
        <v>0</v>
      </c>
      <c r="T7">
        <v>2</v>
      </c>
      <c r="U7">
        <v>1</v>
      </c>
      <c r="V7">
        <v>3</v>
      </c>
      <c r="W7">
        <v>3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3</v>
      </c>
      <c r="AL7">
        <v>3</v>
      </c>
      <c r="AM7">
        <v>1</v>
      </c>
      <c r="AN7">
        <v>1</v>
      </c>
    </row>
    <row r="8" spans="1:40" x14ac:dyDescent="0.25">
      <c r="A8" t="s">
        <v>93</v>
      </c>
      <c r="B8">
        <v>0.2</v>
      </c>
      <c r="C8">
        <v>0.2</v>
      </c>
      <c r="D8">
        <v>0.2</v>
      </c>
      <c r="E8">
        <v>0.4</v>
      </c>
      <c r="F8">
        <v>0.4</v>
      </c>
      <c r="G8">
        <v>1.2</v>
      </c>
      <c r="H8">
        <v>0.4</v>
      </c>
      <c r="I8">
        <v>0.4</v>
      </c>
      <c r="J8">
        <v>0.4</v>
      </c>
      <c r="K8">
        <v>0.4</v>
      </c>
      <c r="L8">
        <v>0.8</v>
      </c>
      <c r="M8">
        <v>0.8</v>
      </c>
      <c r="N8">
        <v>0.6</v>
      </c>
      <c r="O8">
        <v>1.2</v>
      </c>
      <c r="P8">
        <v>3</v>
      </c>
      <c r="Q8">
        <v>0.4</v>
      </c>
      <c r="R8">
        <v>0.4</v>
      </c>
      <c r="S8">
        <v>0.6</v>
      </c>
      <c r="T8">
        <v>2</v>
      </c>
      <c r="U8">
        <v>1.2</v>
      </c>
      <c r="V8">
        <v>2.4</v>
      </c>
      <c r="W8">
        <v>3</v>
      </c>
      <c r="X8">
        <v>1</v>
      </c>
      <c r="Y8">
        <v>1</v>
      </c>
      <c r="Z8">
        <v>1</v>
      </c>
      <c r="AA8">
        <v>1</v>
      </c>
      <c r="AB8">
        <v>1.4</v>
      </c>
      <c r="AC8">
        <v>1.4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3</v>
      </c>
      <c r="AL8">
        <v>3</v>
      </c>
      <c r="AM8">
        <v>1</v>
      </c>
      <c r="AN8">
        <v>1</v>
      </c>
    </row>
    <row r="10" spans="1:40" x14ac:dyDescent="0.25">
      <c r="A10" t="s">
        <v>118</v>
      </c>
    </row>
    <row r="11" spans="1:40" x14ac:dyDescent="0.25">
      <c r="A11" t="s">
        <v>1</v>
      </c>
      <c r="B11" t="s">
        <v>4</v>
      </c>
      <c r="C11" t="s">
        <v>5</v>
      </c>
      <c r="D11" t="s">
        <v>6</v>
      </c>
      <c r="E11" t="s">
        <v>8</v>
      </c>
      <c r="F11" t="s">
        <v>9</v>
      </c>
      <c r="G11" t="s">
        <v>11</v>
      </c>
      <c r="H11" t="s">
        <v>13</v>
      </c>
      <c r="I11" t="s">
        <v>15</v>
      </c>
      <c r="J11" t="s">
        <v>16</v>
      </c>
      <c r="K11" t="s">
        <v>18</v>
      </c>
      <c r="L11" t="s">
        <v>19</v>
      </c>
      <c r="M11" t="s">
        <v>20</v>
      </c>
      <c r="N11" t="s">
        <v>22</v>
      </c>
      <c r="O11" t="s">
        <v>23</v>
      </c>
      <c r="P11" t="s">
        <v>24</v>
      </c>
      <c r="Q11" t="s">
        <v>26</v>
      </c>
      <c r="R11" t="s">
        <v>27</v>
      </c>
      <c r="S11" t="s">
        <v>28</v>
      </c>
      <c r="T11" t="s">
        <v>29</v>
      </c>
      <c r="U11" t="s">
        <v>30</v>
      </c>
      <c r="V11" t="s">
        <v>31</v>
      </c>
      <c r="W11" t="s">
        <v>32</v>
      </c>
      <c r="X11" t="s">
        <v>33</v>
      </c>
      <c r="Y11" t="s">
        <v>34</v>
      </c>
      <c r="Z11" t="s">
        <v>35</v>
      </c>
      <c r="AA11" t="s">
        <v>104</v>
      </c>
      <c r="AB11" t="s">
        <v>105</v>
      </c>
      <c r="AC11" t="s">
        <v>106</v>
      </c>
      <c r="AD11" t="s">
        <v>107</v>
      </c>
      <c r="AE11" t="s">
        <v>108</v>
      </c>
      <c r="AF11" t="s">
        <v>109</v>
      </c>
      <c r="AG11" t="s">
        <v>110</v>
      </c>
      <c r="AH11" t="s">
        <v>111</v>
      </c>
      <c r="AI11" t="s">
        <v>112</v>
      </c>
      <c r="AJ11" t="s">
        <v>113</v>
      </c>
      <c r="AK11" t="s">
        <v>114</v>
      </c>
      <c r="AL11" t="s">
        <v>115</v>
      </c>
      <c r="AM11" t="s">
        <v>116</v>
      </c>
      <c r="AN11" t="s">
        <v>117</v>
      </c>
    </row>
    <row r="12" spans="1:40" x14ac:dyDescent="0.25">
      <c r="A12" t="s">
        <v>88</v>
      </c>
      <c r="B12">
        <v>50</v>
      </c>
      <c r="C12">
        <v>50</v>
      </c>
      <c r="D12">
        <v>50</v>
      </c>
      <c r="E12">
        <v>25</v>
      </c>
      <c r="F12">
        <v>25</v>
      </c>
      <c r="G12">
        <v>0</v>
      </c>
      <c r="H12">
        <v>30</v>
      </c>
      <c r="I12">
        <v>70</v>
      </c>
      <c r="J12">
        <v>70</v>
      </c>
      <c r="K12">
        <v>50</v>
      </c>
      <c r="L12">
        <v>0</v>
      </c>
      <c r="M12">
        <v>0</v>
      </c>
      <c r="N12">
        <v>50</v>
      </c>
      <c r="O12">
        <v>50</v>
      </c>
      <c r="P12">
        <v>0</v>
      </c>
      <c r="Q12">
        <v>50</v>
      </c>
      <c r="R12">
        <v>50</v>
      </c>
      <c r="S12">
        <v>5</v>
      </c>
      <c r="T12">
        <v>10</v>
      </c>
      <c r="U12">
        <v>50</v>
      </c>
      <c r="V12">
        <v>50</v>
      </c>
      <c r="W12">
        <v>0</v>
      </c>
      <c r="X12">
        <v>60</v>
      </c>
      <c r="Y12">
        <v>60</v>
      </c>
      <c r="Z12">
        <v>60</v>
      </c>
      <c r="AA12">
        <v>10</v>
      </c>
      <c r="AB12">
        <v>0</v>
      </c>
      <c r="AC12">
        <v>0</v>
      </c>
      <c r="AD12">
        <v>10</v>
      </c>
      <c r="AE12">
        <v>10</v>
      </c>
      <c r="AF12">
        <v>10</v>
      </c>
      <c r="AG12">
        <v>10</v>
      </c>
      <c r="AH12">
        <v>10</v>
      </c>
      <c r="AI12">
        <v>10</v>
      </c>
      <c r="AJ12">
        <v>10</v>
      </c>
      <c r="AK12">
        <v>0</v>
      </c>
      <c r="AL12">
        <v>0</v>
      </c>
      <c r="AM12">
        <v>10</v>
      </c>
      <c r="AN12">
        <v>10</v>
      </c>
    </row>
    <row r="13" spans="1:40" x14ac:dyDescent="0.25">
      <c r="A13" t="s">
        <v>89</v>
      </c>
      <c r="B13">
        <v>0</v>
      </c>
      <c r="C13">
        <v>0</v>
      </c>
      <c r="D13">
        <v>0</v>
      </c>
      <c r="E13">
        <v>50</v>
      </c>
      <c r="F13">
        <v>50</v>
      </c>
      <c r="G13">
        <v>0</v>
      </c>
      <c r="H13">
        <v>30</v>
      </c>
      <c r="I13">
        <v>70</v>
      </c>
      <c r="J13">
        <v>70</v>
      </c>
      <c r="K13">
        <v>50</v>
      </c>
      <c r="L13">
        <v>60</v>
      </c>
      <c r="M13">
        <v>60</v>
      </c>
      <c r="N13">
        <v>0</v>
      </c>
      <c r="O13">
        <v>0</v>
      </c>
      <c r="P13">
        <v>0</v>
      </c>
      <c r="Q13">
        <v>50</v>
      </c>
      <c r="R13">
        <v>50</v>
      </c>
      <c r="S13">
        <v>0</v>
      </c>
      <c r="T13">
        <v>0</v>
      </c>
      <c r="U13">
        <v>0</v>
      </c>
      <c r="V13">
        <v>0</v>
      </c>
      <c r="W13">
        <v>0</v>
      </c>
      <c r="X13">
        <v>60</v>
      </c>
      <c r="Y13">
        <v>60</v>
      </c>
      <c r="Z13">
        <v>60</v>
      </c>
      <c r="AA13">
        <v>10</v>
      </c>
      <c r="AB13">
        <v>0</v>
      </c>
      <c r="AC13">
        <v>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10</v>
      </c>
      <c r="AJ13">
        <v>10</v>
      </c>
      <c r="AK13">
        <v>0</v>
      </c>
      <c r="AL13">
        <v>0</v>
      </c>
      <c r="AM13">
        <v>10</v>
      </c>
      <c r="AN13">
        <v>10</v>
      </c>
    </row>
    <row r="14" spans="1:40" x14ac:dyDescent="0.2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50</v>
      </c>
      <c r="P14">
        <v>0</v>
      </c>
      <c r="Q14">
        <v>0</v>
      </c>
      <c r="R14">
        <v>0</v>
      </c>
      <c r="S14">
        <v>0</v>
      </c>
      <c r="T14">
        <v>0</v>
      </c>
      <c r="U14">
        <v>40</v>
      </c>
      <c r="V14">
        <v>0</v>
      </c>
      <c r="W14">
        <v>0</v>
      </c>
      <c r="X14">
        <v>60</v>
      </c>
      <c r="Y14">
        <v>10</v>
      </c>
      <c r="Z14">
        <v>10</v>
      </c>
      <c r="AA14">
        <v>10</v>
      </c>
      <c r="AB14">
        <v>10</v>
      </c>
      <c r="AC14">
        <v>10</v>
      </c>
      <c r="AD14">
        <v>10</v>
      </c>
      <c r="AE14">
        <v>10</v>
      </c>
      <c r="AF14">
        <v>10</v>
      </c>
      <c r="AG14">
        <v>10</v>
      </c>
      <c r="AH14">
        <v>10</v>
      </c>
      <c r="AI14">
        <v>10</v>
      </c>
      <c r="AJ14">
        <v>10</v>
      </c>
      <c r="AK14">
        <v>0</v>
      </c>
      <c r="AL14">
        <v>0</v>
      </c>
      <c r="AM14">
        <v>10</v>
      </c>
      <c r="AN14">
        <v>10</v>
      </c>
    </row>
    <row r="15" spans="1:40" x14ac:dyDescent="0.25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40</v>
      </c>
      <c r="V15">
        <v>0</v>
      </c>
      <c r="W15">
        <v>0</v>
      </c>
      <c r="X15">
        <v>60</v>
      </c>
      <c r="Y15">
        <v>10</v>
      </c>
      <c r="Z15">
        <v>10</v>
      </c>
      <c r="AA15">
        <v>10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10</v>
      </c>
      <c r="AI15">
        <v>10</v>
      </c>
      <c r="AJ15">
        <v>10</v>
      </c>
      <c r="AK15">
        <v>0</v>
      </c>
      <c r="AL15">
        <v>0</v>
      </c>
      <c r="AM15">
        <v>10</v>
      </c>
      <c r="AN15">
        <v>10</v>
      </c>
    </row>
    <row r="16" spans="1:40" x14ac:dyDescent="0.25">
      <c r="A16" t="s">
        <v>92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50</v>
      </c>
      <c r="P16">
        <v>0</v>
      </c>
      <c r="Q16">
        <v>0</v>
      </c>
      <c r="R16">
        <v>0</v>
      </c>
      <c r="S16">
        <v>0</v>
      </c>
      <c r="T16">
        <v>0</v>
      </c>
      <c r="U16">
        <v>40</v>
      </c>
      <c r="V16">
        <v>0</v>
      </c>
      <c r="W16">
        <v>0</v>
      </c>
      <c r="X16">
        <v>60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0</v>
      </c>
      <c r="AL16">
        <v>0</v>
      </c>
      <c r="AM16">
        <v>10</v>
      </c>
      <c r="AN16">
        <v>10</v>
      </c>
    </row>
    <row r="17" spans="1:40" x14ac:dyDescent="0.25">
      <c r="A17" t="s">
        <v>93</v>
      </c>
      <c r="B17">
        <v>10</v>
      </c>
      <c r="C17">
        <v>10</v>
      </c>
      <c r="D17">
        <v>10</v>
      </c>
      <c r="E17">
        <v>15</v>
      </c>
      <c r="F17">
        <v>15</v>
      </c>
      <c r="G17">
        <v>0</v>
      </c>
      <c r="H17">
        <v>12</v>
      </c>
      <c r="I17">
        <v>28</v>
      </c>
      <c r="J17">
        <v>28</v>
      </c>
      <c r="K17">
        <v>20</v>
      </c>
      <c r="L17">
        <v>12</v>
      </c>
      <c r="M17">
        <v>12</v>
      </c>
      <c r="N17">
        <v>10</v>
      </c>
      <c r="O17">
        <v>40</v>
      </c>
      <c r="P17">
        <v>0</v>
      </c>
      <c r="Q17">
        <v>20</v>
      </c>
      <c r="R17">
        <v>20</v>
      </c>
      <c r="S17">
        <v>1</v>
      </c>
      <c r="T17">
        <v>2</v>
      </c>
      <c r="U17">
        <v>34</v>
      </c>
      <c r="V17">
        <v>10</v>
      </c>
      <c r="W17">
        <v>0</v>
      </c>
      <c r="X17">
        <v>60</v>
      </c>
      <c r="Y17">
        <v>28</v>
      </c>
      <c r="Z17">
        <v>28</v>
      </c>
      <c r="AA17">
        <v>8</v>
      </c>
      <c r="AB17">
        <v>4</v>
      </c>
      <c r="AC17">
        <v>4</v>
      </c>
      <c r="AD17">
        <v>10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0</v>
      </c>
      <c r="AL17">
        <v>0</v>
      </c>
      <c r="AM17">
        <v>10</v>
      </c>
      <c r="AN17">
        <v>10</v>
      </c>
    </row>
    <row r="19" spans="1:40" x14ac:dyDescent="0.25">
      <c r="A19" t="s">
        <v>119</v>
      </c>
    </row>
    <row r="20" spans="1:40" x14ac:dyDescent="0.25">
      <c r="A20" t="s">
        <v>1</v>
      </c>
      <c r="B20" t="s">
        <v>4</v>
      </c>
      <c r="C20" t="s">
        <v>5</v>
      </c>
      <c r="D20" t="s">
        <v>6</v>
      </c>
      <c r="E20" t="s">
        <v>8</v>
      </c>
      <c r="F20" t="s">
        <v>9</v>
      </c>
      <c r="G20" t="s">
        <v>11</v>
      </c>
      <c r="H20" t="s">
        <v>13</v>
      </c>
      <c r="I20" t="s">
        <v>15</v>
      </c>
      <c r="J20" t="s">
        <v>16</v>
      </c>
      <c r="K20" t="s">
        <v>18</v>
      </c>
      <c r="L20" t="s">
        <v>19</v>
      </c>
      <c r="M20" t="s">
        <v>20</v>
      </c>
      <c r="N20" t="s">
        <v>22</v>
      </c>
      <c r="O20" t="s">
        <v>23</v>
      </c>
      <c r="P20" t="s">
        <v>24</v>
      </c>
      <c r="Q20" t="s">
        <v>26</v>
      </c>
      <c r="R20" t="s">
        <v>27</v>
      </c>
      <c r="S20" t="s">
        <v>28</v>
      </c>
      <c r="T20" t="s">
        <v>29</v>
      </c>
      <c r="U20" t="s">
        <v>30</v>
      </c>
      <c r="V20" t="s">
        <v>31</v>
      </c>
      <c r="W20" t="s">
        <v>32</v>
      </c>
      <c r="X20" t="s">
        <v>33</v>
      </c>
      <c r="Y20" t="s">
        <v>34</v>
      </c>
      <c r="Z20" t="s">
        <v>35</v>
      </c>
      <c r="AA20" t="s">
        <v>104</v>
      </c>
      <c r="AB20" t="s">
        <v>105</v>
      </c>
      <c r="AC20" t="s">
        <v>106</v>
      </c>
      <c r="AD20" t="s">
        <v>107</v>
      </c>
      <c r="AE20" t="s">
        <v>108</v>
      </c>
      <c r="AF20" t="s">
        <v>109</v>
      </c>
      <c r="AG20" t="s">
        <v>110</v>
      </c>
      <c r="AH20" t="s">
        <v>111</v>
      </c>
      <c r="AI20" t="s">
        <v>112</v>
      </c>
      <c r="AJ20" t="s">
        <v>113</v>
      </c>
      <c r="AK20" t="s">
        <v>114</v>
      </c>
      <c r="AL20" t="s">
        <v>115</v>
      </c>
      <c r="AM20" t="s">
        <v>116</v>
      </c>
      <c r="AN20" t="s">
        <v>117</v>
      </c>
    </row>
    <row r="21" spans="1:40" x14ac:dyDescent="0.25">
      <c r="A21" t="s">
        <v>88</v>
      </c>
      <c r="B21">
        <v>3</v>
      </c>
      <c r="C21">
        <v>3</v>
      </c>
      <c r="D21">
        <v>3</v>
      </c>
      <c r="E21">
        <v>2</v>
      </c>
      <c r="F21">
        <v>2</v>
      </c>
      <c r="G21">
        <v>2</v>
      </c>
      <c r="H21">
        <v>2</v>
      </c>
      <c r="I21">
        <v>3</v>
      </c>
      <c r="J21">
        <v>3</v>
      </c>
      <c r="K21">
        <v>1</v>
      </c>
      <c r="L21">
        <v>3</v>
      </c>
      <c r="M21">
        <v>3</v>
      </c>
      <c r="N21">
        <v>3</v>
      </c>
      <c r="O21">
        <v>3</v>
      </c>
      <c r="P21">
        <v>3</v>
      </c>
      <c r="Q21">
        <v>2</v>
      </c>
      <c r="R21">
        <v>2</v>
      </c>
      <c r="S21">
        <v>1</v>
      </c>
      <c r="T21">
        <v>3</v>
      </c>
      <c r="U21">
        <v>3</v>
      </c>
      <c r="V21">
        <v>3</v>
      </c>
      <c r="W21">
        <v>3</v>
      </c>
      <c r="X21">
        <v>1</v>
      </c>
      <c r="Y21">
        <v>3</v>
      </c>
      <c r="Z21">
        <v>3</v>
      </c>
      <c r="AA21">
        <v>1</v>
      </c>
      <c r="AB21">
        <v>2</v>
      </c>
      <c r="AC21">
        <v>2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2</v>
      </c>
      <c r="AL21">
        <v>2</v>
      </c>
      <c r="AM21">
        <v>1</v>
      </c>
      <c r="AN21">
        <v>1</v>
      </c>
    </row>
    <row r="22" spans="1:40" x14ac:dyDescent="0.25">
      <c r="A22" t="s">
        <v>89</v>
      </c>
      <c r="B22">
        <v>0</v>
      </c>
      <c r="C22">
        <v>0</v>
      </c>
      <c r="D22">
        <v>0</v>
      </c>
      <c r="E22">
        <v>3</v>
      </c>
      <c r="F22">
        <v>3</v>
      </c>
      <c r="G22">
        <v>2</v>
      </c>
      <c r="H22">
        <v>2</v>
      </c>
      <c r="I22">
        <v>3</v>
      </c>
      <c r="J22">
        <v>3</v>
      </c>
      <c r="K22">
        <v>1</v>
      </c>
      <c r="L22">
        <v>3</v>
      </c>
      <c r="M22">
        <v>3</v>
      </c>
      <c r="N22">
        <v>3</v>
      </c>
      <c r="O22">
        <v>3</v>
      </c>
      <c r="P22">
        <v>3</v>
      </c>
      <c r="Q22">
        <v>2</v>
      </c>
      <c r="R22">
        <v>2</v>
      </c>
      <c r="S22">
        <v>1</v>
      </c>
      <c r="T22">
        <v>3</v>
      </c>
      <c r="U22">
        <v>3</v>
      </c>
      <c r="V22">
        <v>3</v>
      </c>
      <c r="W22">
        <v>3</v>
      </c>
      <c r="X22">
        <v>1</v>
      </c>
      <c r="Y22">
        <v>3</v>
      </c>
      <c r="Z22">
        <v>3</v>
      </c>
      <c r="AA22">
        <v>1</v>
      </c>
      <c r="AB22">
        <v>2</v>
      </c>
      <c r="AC22">
        <v>2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2</v>
      </c>
      <c r="AL22">
        <v>2</v>
      </c>
      <c r="AM22">
        <v>1</v>
      </c>
      <c r="AN22">
        <v>1</v>
      </c>
    </row>
    <row r="23" spans="1:40" x14ac:dyDescent="0.25">
      <c r="A23" t="s">
        <v>90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2</v>
      </c>
      <c r="P23">
        <v>3</v>
      </c>
      <c r="Q23">
        <v>0</v>
      </c>
      <c r="R23">
        <v>0</v>
      </c>
      <c r="S23">
        <v>0</v>
      </c>
      <c r="T23">
        <v>2</v>
      </c>
      <c r="U23">
        <v>1</v>
      </c>
      <c r="V23">
        <v>2</v>
      </c>
      <c r="W23">
        <v>2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2</v>
      </c>
      <c r="AL23">
        <v>2</v>
      </c>
      <c r="AM23">
        <v>1</v>
      </c>
      <c r="AN23">
        <v>1</v>
      </c>
    </row>
    <row r="24" spans="1:40" x14ac:dyDescent="0.25">
      <c r="A24" t="s">
        <v>91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2</v>
      </c>
      <c r="P24">
        <v>3</v>
      </c>
      <c r="Q24">
        <v>0</v>
      </c>
      <c r="R24">
        <v>0</v>
      </c>
      <c r="S24">
        <v>0</v>
      </c>
      <c r="T24">
        <v>2</v>
      </c>
      <c r="U24">
        <v>1</v>
      </c>
      <c r="V24">
        <v>2</v>
      </c>
      <c r="W24">
        <v>2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1</v>
      </c>
      <c r="AN24">
        <v>1</v>
      </c>
    </row>
    <row r="25" spans="1:40" x14ac:dyDescent="0.25">
      <c r="A25" t="s">
        <v>92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2</v>
      </c>
      <c r="P25">
        <v>3</v>
      </c>
      <c r="Q25">
        <v>0</v>
      </c>
      <c r="R25">
        <v>0</v>
      </c>
      <c r="S25">
        <v>0</v>
      </c>
      <c r="T25">
        <v>2</v>
      </c>
      <c r="U25">
        <v>1</v>
      </c>
      <c r="V25">
        <v>2</v>
      </c>
      <c r="W25">
        <v>2</v>
      </c>
      <c r="X25">
        <v>1</v>
      </c>
      <c r="Y25">
        <v>3</v>
      </c>
      <c r="Z25">
        <v>3</v>
      </c>
      <c r="AA25">
        <v>3</v>
      </c>
      <c r="AB25">
        <v>3</v>
      </c>
      <c r="AC25">
        <v>3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2</v>
      </c>
      <c r="AL25">
        <v>2</v>
      </c>
      <c r="AM25">
        <v>1</v>
      </c>
      <c r="AN25">
        <v>1</v>
      </c>
    </row>
    <row r="26" spans="1:40" x14ac:dyDescent="0.25">
      <c r="A26" t="s">
        <v>93</v>
      </c>
      <c r="B26">
        <v>0.6</v>
      </c>
      <c r="C26">
        <v>0.6</v>
      </c>
      <c r="D26">
        <v>0.6</v>
      </c>
      <c r="E26">
        <v>1</v>
      </c>
      <c r="F26">
        <v>1</v>
      </c>
      <c r="G26">
        <v>0.8</v>
      </c>
      <c r="H26">
        <v>0.8</v>
      </c>
      <c r="I26">
        <v>1.2</v>
      </c>
      <c r="J26">
        <v>1.2</v>
      </c>
      <c r="K26">
        <v>0.4</v>
      </c>
      <c r="L26">
        <v>1.2</v>
      </c>
      <c r="M26">
        <v>1.2</v>
      </c>
      <c r="N26">
        <v>1.2</v>
      </c>
      <c r="O26">
        <v>2.4</v>
      </c>
      <c r="P26">
        <v>3</v>
      </c>
      <c r="Q26">
        <v>0.8</v>
      </c>
      <c r="R26">
        <v>0.8</v>
      </c>
      <c r="S26">
        <v>0.4</v>
      </c>
      <c r="T26">
        <v>2.4</v>
      </c>
      <c r="U26">
        <v>1.8</v>
      </c>
      <c r="V26">
        <v>2.4</v>
      </c>
      <c r="W26">
        <v>2.4</v>
      </c>
      <c r="X26">
        <v>1</v>
      </c>
      <c r="Y26">
        <v>2.2000000000000002</v>
      </c>
      <c r="Z26">
        <v>2.2000000000000002</v>
      </c>
      <c r="AA26">
        <v>1.4</v>
      </c>
      <c r="AB26">
        <v>1.8</v>
      </c>
      <c r="AC26">
        <v>1.8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2</v>
      </c>
      <c r="AL26">
        <v>2</v>
      </c>
      <c r="AM26">
        <v>1</v>
      </c>
      <c r="AN26">
        <v>1</v>
      </c>
    </row>
    <row r="28" spans="1:40" x14ac:dyDescent="0.25">
      <c r="A28" t="s">
        <v>120</v>
      </c>
    </row>
    <row r="29" spans="1:40" x14ac:dyDescent="0.25">
      <c r="A29" t="s">
        <v>1</v>
      </c>
      <c r="B29" t="s">
        <v>4</v>
      </c>
      <c r="C29" t="s">
        <v>5</v>
      </c>
      <c r="D29" t="s">
        <v>6</v>
      </c>
      <c r="E29" t="s">
        <v>8</v>
      </c>
      <c r="F29" t="s">
        <v>9</v>
      </c>
      <c r="G29" t="s">
        <v>11</v>
      </c>
      <c r="H29" t="s">
        <v>13</v>
      </c>
      <c r="I29" t="s">
        <v>15</v>
      </c>
      <c r="J29" t="s">
        <v>16</v>
      </c>
      <c r="K29" t="s">
        <v>18</v>
      </c>
      <c r="L29" t="s">
        <v>19</v>
      </c>
      <c r="M29" t="s">
        <v>20</v>
      </c>
      <c r="N29" t="s">
        <v>22</v>
      </c>
      <c r="O29" t="s">
        <v>23</v>
      </c>
      <c r="P29" t="s">
        <v>24</v>
      </c>
      <c r="Q29" t="s">
        <v>26</v>
      </c>
      <c r="R29" t="s">
        <v>27</v>
      </c>
      <c r="S29" t="s">
        <v>28</v>
      </c>
      <c r="T29" t="s">
        <v>29</v>
      </c>
      <c r="U29" t="s">
        <v>30</v>
      </c>
      <c r="V29" t="s">
        <v>31</v>
      </c>
      <c r="W29" t="s">
        <v>32</v>
      </c>
      <c r="X29" t="s">
        <v>33</v>
      </c>
      <c r="Y29" t="s">
        <v>34</v>
      </c>
      <c r="Z29" t="s">
        <v>35</v>
      </c>
      <c r="AA29" t="s">
        <v>104</v>
      </c>
      <c r="AB29" t="s">
        <v>105</v>
      </c>
      <c r="AC29" t="s">
        <v>106</v>
      </c>
      <c r="AD29" t="s">
        <v>107</v>
      </c>
      <c r="AE29" t="s">
        <v>108</v>
      </c>
      <c r="AF29" t="s">
        <v>109</v>
      </c>
      <c r="AG29" t="s">
        <v>110</v>
      </c>
      <c r="AH29" t="s">
        <v>111</v>
      </c>
      <c r="AI29" t="s">
        <v>112</v>
      </c>
      <c r="AJ29" t="s">
        <v>113</v>
      </c>
      <c r="AK29" t="s">
        <v>114</v>
      </c>
      <c r="AL29" t="s">
        <v>115</v>
      </c>
      <c r="AM29" t="s">
        <v>116</v>
      </c>
      <c r="AN29" t="s">
        <v>117</v>
      </c>
    </row>
    <row r="30" spans="1:40" x14ac:dyDescent="0.25">
      <c r="A30" t="s">
        <v>88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5</v>
      </c>
      <c r="L30">
        <v>4</v>
      </c>
      <c r="M30">
        <v>1</v>
      </c>
      <c r="N30">
        <v>1</v>
      </c>
      <c r="O30">
        <v>1</v>
      </c>
      <c r="P30">
        <v>1</v>
      </c>
      <c r="Q30">
        <v>1</v>
      </c>
      <c r="R30">
        <v>2</v>
      </c>
      <c r="S30">
        <v>1</v>
      </c>
      <c r="T30">
        <v>3</v>
      </c>
      <c r="U30">
        <v>3</v>
      </c>
      <c r="V30">
        <v>3</v>
      </c>
      <c r="W30">
        <v>5</v>
      </c>
      <c r="X30">
        <v>5</v>
      </c>
      <c r="Y30">
        <v>2</v>
      </c>
      <c r="Z30">
        <v>2</v>
      </c>
      <c r="AA30">
        <v>1</v>
      </c>
      <c r="AB30">
        <v>3</v>
      </c>
      <c r="AC30">
        <v>4</v>
      </c>
      <c r="AD30">
        <v>2</v>
      </c>
      <c r="AE30">
        <v>1</v>
      </c>
      <c r="AF30">
        <v>2</v>
      </c>
      <c r="AG30">
        <v>2</v>
      </c>
      <c r="AH30">
        <v>2</v>
      </c>
      <c r="AI30">
        <v>1</v>
      </c>
      <c r="AJ30">
        <v>1</v>
      </c>
      <c r="AK30">
        <v>2</v>
      </c>
      <c r="AL30">
        <v>2</v>
      </c>
      <c r="AM30">
        <v>1</v>
      </c>
      <c r="AN30">
        <v>1</v>
      </c>
    </row>
    <row r="31" spans="1:40" x14ac:dyDescent="0.25">
      <c r="A31" t="s">
        <v>89</v>
      </c>
      <c r="B31">
        <v>0</v>
      </c>
      <c r="C31">
        <v>0</v>
      </c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5</v>
      </c>
      <c r="L31">
        <v>4</v>
      </c>
      <c r="M31">
        <v>1</v>
      </c>
      <c r="N31">
        <v>1</v>
      </c>
      <c r="O31">
        <v>1</v>
      </c>
      <c r="P31">
        <v>1</v>
      </c>
      <c r="Q31">
        <v>1</v>
      </c>
      <c r="R31">
        <v>2</v>
      </c>
      <c r="S31">
        <v>1</v>
      </c>
      <c r="T31">
        <v>3</v>
      </c>
      <c r="U31">
        <v>3</v>
      </c>
      <c r="V31">
        <v>3</v>
      </c>
      <c r="W31">
        <v>5</v>
      </c>
      <c r="X31">
        <v>4</v>
      </c>
      <c r="Y31">
        <v>2</v>
      </c>
      <c r="Z31">
        <v>2</v>
      </c>
      <c r="AA31">
        <v>1</v>
      </c>
      <c r="AB31">
        <v>3</v>
      </c>
      <c r="AC31">
        <v>4</v>
      </c>
      <c r="AD31">
        <v>2</v>
      </c>
      <c r="AE31">
        <v>1</v>
      </c>
      <c r="AF31">
        <v>2</v>
      </c>
      <c r="AG31">
        <v>2</v>
      </c>
      <c r="AH31">
        <v>2</v>
      </c>
      <c r="AI31">
        <v>1</v>
      </c>
      <c r="AJ31">
        <v>1</v>
      </c>
      <c r="AK31">
        <v>2</v>
      </c>
      <c r="AL31">
        <v>2</v>
      </c>
      <c r="AM31">
        <v>1</v>
      </c>
      <c r="AN31">
        <v>1</v>
      </c>
    </row>
    <row r="32" spans="1:40" x14ac:dyDescent="0.25">
      <c r="A32" t="s">
        <v>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2</v>
      </c>
      <c r="Q32">
        <v>0</v>
      </c>
      <c r="R32">
        <v>0</v>
      </c>
      <c r="S32">
        <v>0</v>
      </c>
      <c r="T32">
        <v>3</v>
      </c>
      <c r="U32">
        <v>2</v>
      </c>
      <c r="V32">
        <v>2</v>
      </c>
      <c r="W32">
        <v>5</v>
      </c>
      <c r="X32">
        <v>4</v>
      </c>
      <c r="Y32">
        <v>2</v>
      </c>
      <c r="Z32">
        <v>2</v>
      </c>
      <c r="AA32">
        <v>1</v>
      </c>
      <c r="AB32">
        <v>3</v>
      </c>
      <c r="AC32">
        <v>4</v>
      </c>
      <c r="AD32">
        <v>2</v>
      </c>
      <c r="AE32">
        <v>1</v>
      </c>
      <c r="AF32">
        <v>2</v>
      </c>
      <c r="AG32">
        <v>2</v>
      </c>
      <c r="AH32">
        <v>2</v>
      </c>
      <c r="AI32">
        <v>1</v>
      </c>
      <c r="AJ32">
        <v>1</v>
      </c>
      <c r="AK32">
        <v>2</v>
      </c>
      <c r="AL32">
        <v>2</v>
      </c>
      <c r="AM32">
        <v>1</v>
      </c>
      <c r="AN32">
        <v>1</v>
      </c>
    </row>
    <row r="33" spans="1:40" x14ac:dyDescent="0.25">
      <c r="A33" t="s">
        <v>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1</v>
      </c>
      <c r="P33">
        <v>2</v>
      </c>
      <c r="Q33">
        <v>0</v>
      </c>
      <c r="R33">
        <v>0</v>
      </c>
      <c r="S33">
        <v>0</v>
      </c>
      <c r="T33">
        <v>3</v>
      </c>
      <c r="U33">
        <v>2</v>
      </c>
      <c r="V33">
        <v>2</v>
      </c>
      <c r="W33">
        <v>5</v>
      </c>
      <c r="X33">
        <v>4</v>
      </c>
      <c r="Y33">
        <v>2</v>
      </c>
      <c r="Z33">
        <v>2</v>
      </c>
      <c r="AA33">
        <v>1</v>
      </c>
      <c r="AB33">
        <v>3</v>
      </c>
      <c r="AC33">
        <v>4</v>
      </c>
      <c r="AD33">
        <v>2</v>
      </c>
      <c r="AE33">
        <v>1</v>
      </c>
      <c r="AF33">
        <v>2</v>
      </c>
      <c r="AG33">
        <v>2</v>
      </c>
      <c r="AH33">
        <v>2</v>
      </c>
      <c r="AI33">
        <v>1</v>
      </c>
      <c r="AJ33">
        <v>1</v>
      </c>
      <c r="AK33">
        <v>2</v>
      </c>
      <c r="AL33">
        <v>2</v>
      </c>
      <c r="AM33">
        <v>1</v>
      </c>
      <c r="AN33">
        <v>1</v>
      </c>
    </row>
    <row r="34" spans="1:40" x14ac:dyDescent="0.25">
      <c r="A34" t="s">
        <v>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2</v>
      </c>
      <c r="Q34">
        <v>0</v>
      </c>
      <c r="R34">
        <v>0</v>
      </c>
      <c r="S34">
        <v>0</v>
      </c>
      <c r="T34">
        <v>3</v>
      </c>
      <c r="U34">
        <v>2</v>
      </c>
      <c r="V34">
        <v>2</v>
      </c>
      <c r="W34">
        <v>5</v>
      </c>
      <c r="X34">
        <v>4</v>
      </c>
      <c r="Y34">
        <v>3</v>
      </c>
      <c r="Z34">
        <v>3</v>
      </c>
      <c r="AA34">
        <v>2</v>
      </c>
      <c r="AB34">
        <v>4</v>
      </c>
      <c r="AC34">
        <v>5</v>
      </c>
      <c r="AD34">
        <v>2</v>
      </c>
      <c r="AE34">
        <v>1</v>
      </c>
      <c r="AF34">
        <v>2</v>
      </c>
      <c r="AG34">
        <v>2</v>
      </c>
      <c r="AH34">
        <v>2</v>
      </c>
      <c r="AI34">
        <v>1</v>
      </c>
      <c r="AJ34">
        <v>1</v>
      </c>
      <c r="AK34">
        <v>2</v>
      </c>
      <c r="AL34">
        <v>2</v>
      </c>
      <c r="AM34">
        <v>1</v>
      </c>
      <c r="AN34">
        <v>1</v>
      </c>
    </row>
    <row r="35" spans="1:40" x14ac:dyDescent="0.25">
      <c r="A35" t="s">
        <v>93</v>
      </c>
      <c r="B35">
        <v>0.2</v>
      </c>
      <c r="C35">
        <v>0.2</v>
      </c>
      <c r="D35">
        <v>0.2</v>
      </c>
      <c r="E35">
        <v>0.4</v>
      </c>
      <c r="F35">
        <v>0.4</v>
      </c>
      <c r="G35">
        <v>0.4</v>
      </c>
      <c r="H35">
        <v>0.4</v>
      </c>
      <c r="I35">
        <v>0.4</v>
      </c>
      <c r="J35">
        <v>0.4</v>
      </c>
      <c r="K35">
        <v>2</v>
      </c>
      <c r="L35">
        <v>1.6</v>
      </c>
      <c r="M35">
        <v>0.4</v>
      </c>
      <c r="N35">
        <v>0.4</v>
      </c>
      <c r="O35">
        <v>1</v>
      </c>
      <c r="P35">
        <v>1.6</v>
      </c>
      <c r="Q35">
        <v>0.4</v>
      </c>
      <c r="R35">
        <v>0.8</v>
      </c>
      <c r="S35">
        <v>0.4</v>
      </c>
      <c r="T35">
        <v>3</v>
      </c>
      <c r="U35">
        <v>2.4</v>
      </c>
      <c r="V35">
        <v>2.4</v>
      </c>
      <c r="W35">
        <v>5</v>
      </c>
      <c r="X35">
        <v>4.2</v>
      </c>
      <c r="Y35">
        <v>2.2000000000000002</v>
      </c>
      <c r="Z35">
        <v>2.2000000000000002</v>
      </c>
      <c r="AA35">
        <v>1.2</v>
      </c>
      <c r="AB35">
        <v>3.2</v>
      </c>
      <c r="AC35">
        <v>4.2</v>
      </c>
      <c r="AD35">
        <v>2</v>
      </c>
      <c r="AE35">
        <v>1</v>
      </c>
      <c r="AF35">
        <v>2</v>
      </c>
      <c r="AG35">
        <v>2</v>
      </c>
      <c r="AH35">
        <v>2</v>
      </c>
      <c r="AI35">
        <v>1</v>
      </c>
      <c r="AJ35">
        <v>1</v>
      </c>
      <c r="AK35">
        <v>2</v>
      </c>
      <c r="AL35">
        <v>2</v>
      </c>
      <c r="AM35">
        <v>1</v>
      </c>
      <c r="AN3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Actuals</vt:lpstr>
      <vt:lpstr>Forecast</vt:lpstr>
      <vt:lpstr>Promo Regressors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2026-02-11T11:42:08Z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