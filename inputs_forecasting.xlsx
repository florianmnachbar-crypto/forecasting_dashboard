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Actuals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Promo Regressor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%;\-#,##0.00%"/>
    <numFmt numFmtId="165" formatCode="#,##0.##;\-#,##0.##"/>
    <numFmt numFmtId="166" formatCode="0.0"/>
    <numFmt numFmtId="167" formatCode="&quot;&quot;#0.0,&quot;K&quot;;\-&quot;&quot;#0.0,&quot;K&quot;;\-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mazon Ember"/>
      <family val="2"/>
      <color rgb="FF212121"/>
      <sz val="12"/>
    </font>
    <font>
      <name val="Calibri"/>
      <family val="2"/>
      <color rgb="FF000000"/>
      <sz val="12"/>
    </font>
    <font>
      <name val="Aptos Narrow"/>
      <family val="2"/>
      <color theme="1"/>
      <sz val="8"/>
      <scheme val="minor"/>
    </font>
    <font>
      <name val="Aptos Narrow"/>
      <family val="2"/>
      <color rgb="FF000000"/>
      <sz val="11"/>
      <scheme val="minor"/>
    </font>
    <font>
      <name val="Aptos Narrow"/>
      <family val="2"/>
      <color rgb="FF000000"/>
      <sz val="8"/>
      <scheme val="minor"/>
    </font>
    <font>
      <name val="Calibri"/>
      <family val="2"/>
      <color theme="1"/>
      <sz val="8"/>
    </font>
  </fonts>
  <fills count="11">
    <fill>
      <patternFill/>
    </fill>
    <fill>
      <patternFill patternType="gray125"/>
    </fill>
    <fill>
      <patternFill patternType="solid">
        <fgColor rgb="FFF6F6F6"/>
      </patternFill>
    </fill>
    <fill>
      <patternFill patternType="solid">
        <fgColor rgb="FFF6F6F6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FF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E4F5"/>
        <bgColor rgb="FFC0E4F5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 style="thin">
        <color theme="4" tint="0.3999755851924192"/>
      </right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69">
    <xf numFmtId="0" fontId="0" fillId="0" borderId="0" pivotButton="0" quotePrefix="0" xfId="0"/>
    <xf numFmtId="37" fontId="4" fillId="2" borderId="1" applyAlignment="1" pivotButton="0" quotePrefix="0" xfId="0">
      <alignment horizontal="center" vertical="center" wrapText="1"/>
    </xf>
    <xf numFmtId="37" fontId="4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4" borderId="2" pivotButton="0" quotePrefix="0" xfId="0"/>
    <xf numFmtId="37" fontId="4" fillId="5" borderId="3" applyAlignment="1" pivotButton="0" quotePrefix="0" xfId="0">
      <alignment horizontal="center" vertical="center" wrapText="1"/>
    </xf>
    <xf numFmtId="0" fontId="0" fillId="6" borderId="3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6" borderId="2" pivotButton="0" quotePrefix="0" xfId="0"/>
    <xf numFmtId="0" fontId="2" fillId="4" borderId="4" pivotButton="0" quotePrefix="0" xfId="0"/>
    <xf numFmtId="0" fontId="0" fillId="0" borderId="4" pivotButton="0" quotePrefix="0" xfId="0"/>
    <xf numFmtId="0" fontId="0" fillId="6" borderId="4" pivotButton="0" quotePrefix="0" xfId="0"/>
    <xf numFmtId="0" fontId="2" fillId="4" borderId="5" pivotButton="0" quotePrefix="0" xfId="0"/>
    <xf numFmtId="0" fontId="0" fillId="6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4" borderId="9" pivotButton="0" quotePrefix="0" xfId="0"/>
    <xf numFmtId="164" fontId="4" fillId="5" borderId="3" applyAlignment="1" pivotButton="0" quotePrefix="0" xfId="0">
      <alignment horizontal="center" vertical="center" wrapText="1"/>
    </xf>
    <xf numFmtId="10" fontId="4" fillId="2" borderId="1" applyAlignment="1" pivotButton="0" quotePrefix="0" xfId="1">
      <alignment horizontal="center" vertical="center" wrapText="1"/>
    </xf>
    <xf numFmtId="10" fontId="4" fillId="3" borderId="1" applyAlignment="1" pivotButton="0" quotePrefix="0" xfId="1">
      <alignment horizontal="center" vertical="center" wrapText="1"/>
    </xf>
    <xf numFmtId="164" fontId="0" fillId="6" borderId="3" pivotButton="0" quotePrefix="0" xfId="0"/>
    <xf numFmtId="164" fontId="0" fillId="0" borderId="3" pivotButton="0" quotePrefix="0" xfId="0"/>
    <xf numFmtId="164" fontId="0" fillId="0" borderId="2" pivotButton="0" quotePrefix="0" xfId="0"/>
    <xf numFmtId="164" fontId="0" fillId="6" borderId="2" pivotButton="0" quotePrefix="0" xfId="0"/>
    <xf numFmtId="0" fontId="2" fillId="4" borderId="10" pivotButton="0" quotePrefix="0" xfId="0"/>
    <xf numFmtId="164" fontId="0" fillId="0" borderId="4" pivotButton="0" quotePrefix="0" xfId="0"/>
    <xf numFmtId="164" fontId="0" fillId="6" borderId="4" pivotButton="0" quotePrefix="0" xfId="0"/>
    <xf numFmtId="0" fontId="2" fillId="4" borderId="11" pivotButton="0" quotePrefix="0" xfId="0"/>
    <xf numFmtId="164" fontId="0" fillId="6" borderId="6" pivotButton="0" quotePrefix="0" xfId="1"/>
    <xf numFmtId="165" fontId="4" fillId="5" borderId="3" applyAlignment="1" pivotButton="0" quotePrefix="0" xfId="0">
      <alignment horizontal="center" vertical="center" wrapText="1"/>
    </xf>
    <xf numFmtId="39" fontId="4" fillId="2" borderId="1" applyAlignment="1" pivotButton="0" quotePrefix="0" xfId="0">
      <alignment horizontal="center" vertical="center" wrapText="1"/>
    </xf>
    <xf numFmtId="39" fontId="4" fillId="3" borderId="1" applyAlignment="1" pivotButton="0" quotePrefix="0" xfId="0">
      <alignment horizontal="center" vertical="center" wrapText="1"/>
    </xf>
    <xf numFmtId="2" fontId="0" fillId="6" borderId="6" pivotButton="0" quotePrefix="0" xfId="0"/>
    <xf numFmtId="166" fontId="0" fillId="0" borderId="0" pivotButton="0" quotePrefix="0" xfId="0"/>
    <xf numFmtId="10" fontId="0" fillId="0" borderId="0" pivotButton="0" quotePrefix="0" xfId="0"/>
    <xf numFmtId="1" fontId="5" fillId="0" borderId="0" pivotButton="0" quotePrefix="0" xfId="0"/>
    <xf numFmtId="1" fontId="0" fillId="0" borderId="0" pivotButton="0" quotePrefix="0" xfId="0"/>
    <xf numFmtId="165" fontId="4" fillId="7" borderId="12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3" fillId="0" borderId="2" pivotButton="0" quotePrefix="0" xfId="0"/>
    <xf numFmtId="165" fontId="4" fillId="7" borderId="1" applyAlignment="1" pivotButton="0" quotePrefix="0" xfId="0">
      <alignment horizontal="center" vertical="center" wrapText="1"/>
    </xf>
    <xf numFmtId="165" fontId="4" fillId="7" borderId="13" applyAlignment="1" pivotButton="0" quotePrefix="0" xfId="0">
      <alignment horizontal="center" vertical="center" wrapText="1"/>
    </xf>
    <xf numFmtId="0" fontId="2" fillId="4" borderId="14" pivotButton="0" quotePrefix="0" xfId="0"/>
    <xf numFmtId="164" fontId="4" fillId="7" borderId="12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4" fillId="7" borderId="13" applyAlignment="1" pivotButton="0" quotePrefix="0" xfId="0">
      <alignment horizontal="center" vertical="center" wrapText="1"/>
    </xf>
    <xf numFmtId="37" fontId="5" fillId="3" borderId="12" applyAlignment="1" pivotButton="0" quotePrefix="0" xfId="0">
      <alignment horizontal="center" vertical="center" wrapText="1"/>
    </xf>
    <xf numFmtId="37" fontId="5" fillId="3" borderId="1" applyAlignment="1" pivotButton="0" quotePrefix="0" xfId="0">
      <alignment horizontal="center" vertical="center" wrapText="1"/>
    </xf>
    <xf numFmtId="37" fontId="5" fillId="3" borderId="13" applyAlignment="1" pivotButton="0" quotePrefix="0" xfId="0">
      <alignment horizontal="center" vertical="center" wrapText="1"/>
    </xf>
    <xf numFmtId="37" fontId="4" fillId="3" borderId="12" applyAlignment="1" pivotButton="0" quotePrefix="0" xfId="0">
      <alignment horizontal="center" vertical="center" wrapText="1"/>
    </xf>
    <xf numFmtId="37" fontId="4" fillId="3" borderId="13" applyAlignment="1" pivotButton="0" quotePrefix="0" xfId="0">
      <alignment horizontal="center" vertical="center" wrapText="1"/>
    </xf>
    <xf numFmtId="0" fontId="6" fillId="8" borderId="0" applyAlignment="1" pivotButton="0" quotePrefix="0" xfId="0">
      <alignment wrapText="1"/>
    </xf>
    <xf numFmtId="0" fontId="6" fillId="8" borderId="12" applyAlignment="1" pivotButton="0" quotePrefix="0" xfId="0">
      <alignment wrapText="1"/>
    </xf>
    <xf numFmtId="0" fontId="7" fillId="0" borderId="0" applyAlignment="1" pivotButton="0" quotePrefix="0" xfId="0">
      <alignment horizontal="center" wrapText="1"/>
    </xf>
    <xf numFmtId="0" fontId="8" fillId="9" borderId="13" applyAlignment="1" pivotButton="0" quotePrefix="0" xfId="0">
      <alignment horizontal="center" wrapText="1"/>
    </xf>
    <xf numFmtId="0" fontId="8" fillId="9" borderId="12" applyAlignment="1" pivotButton="0" quotePrefix="0" xfId="0">
      <alignment horizontal="center" wrapText="1"/>
    </xf>
    <xf numFmtId="0" fontId="6" fillId="8" borderId="15" applyAlignment="1" pivotButton="0" quotePrefix="0" xfId="0">
      <alignment wrapText="1"/>
    </xf>
    <xf numFmtId="0" fontId="6" fillId="8" borderId="1" applyAlignment="1" pivotButton="0" quotePrefix="0" xfId="0">
      <alignment wrapText="1"/>
    </xf>
    <xf numFmtId="167" fontId="9" fillId="8" borderId="1" applyAlignment="1" pivotButton="0" quotePrefix="0" xfId="0">
      <alignment horizontal="left" vertical="top"/>
    </xf>
    <xf numFmtId="0" fontId="8" fillId="9" borderId="1" applyAlignment="1" pivotButton="0" quotePrefix="0" xfId="0">
      <alignment horizontal="center" wrapText="1"/>
    </xf>
    <xf numFmtId="0" fontId="6" fillId="8" borderId="13" applyAlignment="1" pivotButton="0" quotePrefix="0" xfId="0">
      <alignment wrapText="1"/>
    </xf>
    <xf numFmtId="0" fontId="2" fillId="10" borderId="1" pivotButton="0" quotePrefix="0" xfId="0"/>
    <xf numFmtId="0" fontId="2" fillId="10" borderId="13" pivotButton="0" quotePrefix="0" xfId="0"/>
    <xf numFmtId="0" fontId="2" fillId="10" borderId="16" pivotButton="0" quotePrefix="0" xfId="0"/>
    <xf numFmtId="166" fontId="0" fillId="8" borderId="1" pivotButton="0" quotePrefix="0" xfId="0"/>
    <xf numFmtId="166" fontId="0" fillId="8" borderId="17" pivotButton="0" quotePrefix="0" xfId="0"/>
    <xf numFmtId="0" fontId="0" fillId="0" borderId="0" pivotButton="0" quotePrefix="1" xfId="0"/>
  </cellXfs>
  <cellStyles count="2">
    <cellStyle name="Normal" xfId="0" builtinId="0"/>
    <cellStyle name="Percent" xfId="1" builtinId="5"/>
  </cellStyles>
  <dxfs count="721"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bottom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bottom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bottom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bottom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bottom" wrapText="1"/>
    </dxf>
    <dxf>
      <font>
        <name val="Aptos Narrow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8"/>
        <vertAlign val="baseline"/>
        <scheme val="minor"/>
      </font>
      <fill>
        <patternFill patternType="solid">
          <fgColor rgb="FFC0E4F5"/>
          <bgColor rgb="FFC0E4F5"/>
        </patternFill>
      </fill>
      <alignment horizontal="center" vertical="bottom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8"/>
        <vertAlign val="baseline"/>
        <scheme val="minor"/>
      </font>
      <fill>
        <patternFill patternType="solid">
          <fgColor rgb="FFC0E4F5"/>
          <bgColor rgb="FFC0E4F5"/>
        </patternFill>
      </fill>
      <alignment horizontal="center" vertical="bottom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8"/>
        <vertAlign val="baseline"/>
        <scheme val="minor"/>
      </font>
      <fill>
        <patternFill patternType="solid">
          <fgColor rgb="FFC0E4F5"/>
          <bgColor rgb="FFC0E4F5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bottom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</font>
      <numFmt numFmtId="167" formatCode="&quot;&quot;#0.0,&quot;K&quot;;\-&quot;&quot;#0.0,&quot;K&quot;;\-"/>
      <fill>
        <patternFill patternType="solid">
          <fgColor indexed="64"/>
          <bgColor theme="0"/>
        </patternFill>
      </fill>
      <alignment horizontal="lef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</font>
      <numFmt numFmtId="167" formatCode="&quot;&quot;#0.0,&quot;K&quot;;\-&quot;&quot;#0.0,&quot;K&quot;;\-"/>
      <fill>
        <patternFill patternType="solid">
          <fgColor indexed="64"/>
          <bgColor theme="0"/>
        </patternFill>
      </fill>
      <alignment horizontal="lef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000000"/>
          <bgColor rgb="FFFFFFFF"/>
        </patternFill>
      </fill>
      <alignment horizontal="general" vertical="bottom" wrapText="1"/>
    </dxf>
    <dxf>
      <border outline="0">
        <bottom style="thin">
          <color rgb="FF000000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numFmt numFmtId="166" formatCode="0.0"/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5" formatCode="#,##0.##;\-#,##0.##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</dxf>
    <dxf>
      <numFmt numFmtId="166" formatCode="0.0"/>
    </dxf>
    <dxf>
      <numFmt numFmtId="166" formatCode="0.0"/>
    </dxf>
    <dxf>
      <numFmt numFmtId="166" formatCode="0.0"/>
    </dxf>
    <dxf>
      <numFmt numFmtId="166" formatCode="0.0"/>
    </dxf>
    <dxf>
      <border outline="0">
        <left style="thin">
          <color rgb="FF44B3E1"/>
        </left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164" formatCode="#,##0.00%;\-#,##0.00%"/>
      <fill>
        <patternFill patternType="solid">
          <fgColor indexed="64"/>
          <bgColor rgb="FFFFFFFF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border outline="0">
        <left style="thin">
          <color rgb="FF44B3E1"/>
        </left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numFmt numFmtId="1" formatCode="0"/>
    </dxf>
    <dxf>
      <numFmt numFmtId="1" formatCode="0"/>
    </dxf>
    <dxf>
      <numFmt numFmtId="1" formatCode="0"/>
    </dxf>
    <dxf>
      <border outline="0">
        <left style="thin">
          <color rgb="FF44B3E1"/>
        </left>
        <top style="thin">
          <color rgb="FF44B3E1"/>
        </top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</dxf>
    <dxf>
      <border outline="0">
        <bottom style="thin">
          <color rgb="FF44B3E1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color rgb="FF212121"/>
        <sz val="12"/>
      </font>
      <numFmt numFmtId="14" formatCode="0.00%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.00%;\-#,##0.00%"/>
      <border outline="0">
        <right style="thin">
          <color indexed="64"/>
        </right>
      </border>
    </dxf>
    <dxf>
      <numFmt numFmtId="164" formatCode="#,##0.00%;\-#,##0.00%"/>
    </dxf>
    <dxf>
      <numFmt numFmtId="164" formatCode="#,##0.00%;\-#,##0.00%"/>
    </dxf>
    <dxf>
      <numFmt numFmtId="164" formatCode="#,##0.00%;\-#,##0.00%"/>
    </dxf>
    <dxf>
      <numFmt numFmtId="164" formatCode="#,##0.00%;\-#,##0.00%"/>
    </dxf>
    <dxf>
      <numFmt numFmtId="164" formatCode="#,##0.00%;\-#,##0.00%"/>
    </dxf>
    <dxf>
      <numFmt numFmtId="164" formatCode="#,##0.00%;\-#,##0.00%"/>
    </dxf>
    <dxf>
      <numFmt numFmtId="164" formatCode="#,##0.00%;\-#,##0.00%"/>
    </dxf>
    <dxf>
      <numFmt numFmtId="164" formatCode="#,##0.00%;\-#,##0.00%"/>
    </dxf>
    <dxf>
      <numFmt numFmtId="164" formatCode="#,##0.00%;\-#,##0.00%"/>
    </dxf>
    <dxf>
      <numFmt numFmtId="164" formatCode="#,##0.00%;\-#,##0.00%"/>
    </dxf>
    <dxf>
      <numFmt numFmtId="164" formatCode="#,##0.00%;\-#,##0.00%"/>
    </dxf>
    <dxf>
      <numFmt numFmtId="164" formatCode="#,##0.00%;\-#,##0.00%"/>
    </dxf>
    <dxf>
      <numFmt numFmtId="164" formatCode="#,##0.00%;\-#,##0.00%"/>
    </dxf>
    <dxf>
      <numFmt numFmtId="164" formatCode="#,##0.00%;\-#,##0.00%"/>
    </dxf>
    <dxf>
      <numFmt numFmtId="164" formatCode="#,##0.00%;\-#,##0.00%"/>
    </dxf>
    <dxf>
      <numFmt numFmtId="164" formatCode="#,##0.00%;\-#,##0.00%"/>
      <fill>
        <patternFill patternType="solid">
          <fgColor theme="4" tint="0.7999816888943144"/>
          <bgColor theme="4" tint="0.7999816888943144"/>
        </patternFill>
      </fill>
      <border outline="0"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numFmt numFmtId="164" formatCode="#,##0.00%;\-#,##0.00%"/>
      <border outline="0"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numFmt numFmtId="164" formatCode="#,##0.00%;\-#,##0.00%"/>
      <fill>
        <patternFill patternType="solid">
          <fgColor theme="4" tint="0.7999816888943144"/>
          <bgColor theme="4" tint="0.7999816888943144"/>
        </patternFill>
      </fill>
      <border outline="0"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numFmt numFmtId="164" formatCode="#,##0.00%;\-#,##0.00%"/>
      <border outline="0"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numFmt numFmtId="164" formatCode="#,##0.00%;\-#,##0.00%"/>
      <fill>
        <patternFill patternType="solid">
          <fgColor theme="4" tint="0.7999816888943144"/>
          <bgColor theme="4" tint="0.7999816888943144"/>
        </patternFill>
      </fill>
      <border outline="0"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border>
        <left style="thin">
          <color theme="4" tint="0.399975585192419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Amazon Ember"/>
        <strike val="0"/>
        <outline val="0"/>
        <shadow val="0"/>
        <condense val="0"/>
        <color rgb="FF212121"/>
        <extend val="0"/>
        <sz val="12"/>
        <vertAlign val="baseline"/>
      </font>
      <fill>
        <patternFill patternType="solid">
          <fgColor indexed="64"/>
          <bgColor rgb="FFFFFFFF"/>
        </patternFill>
      </fill>
      <alignment horizontal="center" vertical="center" wrapText="1"/>
    </dxf>
    <dxf>
      <border outline="0">
        <left style="thin">
          <color theme="4" tint="0.3999755851924192"/>
        </left>
        <right style="thin">
          <color theme="4" tint="0.3999755851924192"/>
        </right>
        <top/>
        <bottom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  <vertical/>
        <horizontal/>
      </border>
    </dxf>
    <dxf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  <vertical/>
        <horizontal/>
      </border>
    </dxf>
    <dxf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7" formatCode="#,##0.00;\-#,##0.00"/>
      <fill>
        <patternFill patternType="solid">
          <fgColor indexed="64"/>
          <bgColor rgb="FFF6F6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  <dxf>
      <fill>
        <patternFill patternType="solid">
          <fgColor theme="4" tint="0.7999816888943144"/>
          <bgColor theme="4" tint="0.7999816888943144"/>
        </patternFill>
      </fill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  <vertical/>
        <horizontal/>
      </border>
    </dxf>
    <dxf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  <vertical/>
        <horizontal/>
      </border>
    </dxf>
    <dxf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  <vertical/>
        <horizontal/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mazon Ember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strike val="0"/>
        <outline val="0"/>
        <shadow val="0"/>
        <condense val="0"/>
        <color rgb="FF212121"/>
        <extend val="0"/>
        <sz val="12"/>
        <vertAlign val="baseline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mazon Ember"/>
        <family val="2"/>
        <color rgb="FF212121"/>
        <sz val="12"/>
      </font>
      <numFmt numFmtId="5" formatCode="#,##0;\-#,##0"/>
      <fill>
        <patternFill patternType="solid">
          <fgColor indexed="64"/>
          <bgColor rgb="FFF6F6F6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ActualUnits" displayName="tblActualUnits" ref="B2:CJ8" headerRowCount="1" totalsRowShown="0">
  <autoFilter ref="B2:CJ8"/>
  <tableColumns count="87">
    <tableColumn id="1" name="MP"/>
    <tableColumn id="2" name="Wk19 2025" dataDxfId="720"/>
    <tableColumn id="3" name="Wk20 2025" dataDxfId="719"/>
    <tableColumn id="4" name="Wk21 2025" dataDxfId="718"/>
    <tableColumn id="5" name="Wk22 2025" dataDxfId="717"/>
    <tableColumn id="6" name="Wk23 2025" dataDxfId="716"/>
    <tableColumn id="7" name="Wk24 2025" dataDxfId="715"/>
    <tableColumn id="8" name="Wk25 2025" dataDxfId="714"/>
    <tableColumn id="9" name="Wk26 2025" dataDxfId="713"/>
    <tableColumn id="10" name="Wk27 2025" dataDxfId="712"/>
    <tableColumn id="11" name="Wk28 2025" dataDxfId="711"/>
    <tableColumn id="12" name="Wk29 2025" dataDxfId="710"/>
    <tableColumn id="13" name="Wk30 2025" dataDxfId="709"/>
    <tableColumn id="14" name="Wk31 2025" dataDxfId="708"/>
    <tableColumn id="15" name="Wk32 2025" dataDxfId="707"/>
    <tableColumn id="16" name="Wk33 2025" dataDxfId="706"/>
    <tableColumn id="17" name="Wk34 2025" dataDxfId="705"/>
    <tableColumn id="18" name="Wk35 2025" dataDxfId="704"/>
    <tableColumn id="19" name="Wk36 2025" dataDxfId="703"/>
    <tableColumn id="20" name="Wk37 2025" dataDxfId="702"/>
    <tableColumn id="21" name="Wk38 2025" dataDxfId="701"/>
    <tableColumn id="22" name="Wk39 2025" dataDxfId="700"/>
    <tableColumn id="23" name="Wk40 2025" dataDxfId="699"/>
    <tableColumn id="24" name="Wk41 2025" dataDxfId="698"/>
    <tableColumn id="25" name="Wk42 2025" dataDxfId="697"/>
    <tableColumn id="26" name="Wk43 2025" dataDxfId="696"/>
    <tableColumn id="27" name="Wk44 2025" dataDxfId="695"/>
    <tableColumn id="28" name="Wk45 2025" dataDxfId="694"/>
    <tableColumn id="29" name="Wk46 2025" dataDxfId="693"/>
    <tableColumn id="30" name="Wk47 2025" dataDxfId="692"/>
    <tableColumn id="31" name="Wk48 2025" dataDxfId="691"/>
    <tableColumn id="32" name="Wk49 2025" dataDxfId="690"/>
    <tableColumn id="33" name="Wk50 2025" dataDxfId="689"/>
    <tableColumn id="34" name="Wk51 2025" dataDxfId="688"/>
    <tableColumn id="35" name="Wk52 2025" dataDxfId="687"/>
    <tableColumn id="36" name="Wk 1 2026" dataDxfId="686"/>
    <tableColumn id="37" name="Wk 2 2026" dataDxfId="685"/>
    <tableColumn id="38" name="Wk 3 2026" dataDxfId="684"/>
    <tableColumn id="39" name="Wk 4 2026" dataDxfId="683"/>
    <tableColumn id="40" name="Wk 5 2026" dataDxfId="3"/>
    <tableColumn id="41" name="Wk 6 2026" dataDxfId="682"/>
    <tableColumn id="42" name="Wk 7 2026" dataDxfId="681"/>
    <tableColumn id="43" name="Wk 8 2026" dataDxfId="680"/>
    <tableColumn id="44" name="Wk 9 2026" dataDxfId="679"/>
    <tableColumn id="45" name="Wk 10 2026" dataDxfId="678"/>
    <tableColumn id="46" name="Wk 11 2026" dataDxfId="677"/>
    <tableColumn id="47" name="Wk 12 2026" dataDxfId="676"/>
    <tableColumn id="48" name="Wk 13 2026" dataDxfId="675"/>
    <tableColumn id="49" name="Wk 14 2026" dataDxfId="674"/>
    <tableColumn id="50" name="Wk 15 2026" dataDxfId="673"/>
    <tableColumn id="51" name="Wk 16 2026" dataDxfId="672"/>
    <tableColumn id="52" name="Wk 17 2026" dataDxfId="671"/>
    <tableColumn id="53" name="Wk 18 2026" dataDxfId="670"/>
    <tableColumn id="54" name="Wk 19 2026" dataDxfId="669"/>
    <tableColumn id="55" name="Wk 20 2026" dataDxfId="668"/>
    <tableColumn id="56" name="Wk 21 2026" dataDxfId="667"/>
    <tableColumn id="57" name="Wk 22 2026" dataDxfId="666"/>
    <tableColumn id="58" name="Wk 23 2026" dataDxfId="665"/>
    <tableColumn id="59" name="Wk 24 2026" dataDxfId="664"/>
    <tableColumn id="60" name="Wk 25 2026" dataDxfId="663"/>
    <tableColumn id="61" name="Wk 26 2026" dataDxfId="662"/>
    <tableColumn id="62" name="Wk 27 2026" dataDxfId="661"/>
    <tableColumn id="63" name="Wk 28 2026" dataDxfId="660"/>
    <tableColumn id="64" name="Wk 29 2026" dataDxfId="659"/>
    <tableColumn id="65" name="Wk 30 2026" dataDxfId="658"/>
    <tableColumn id="66" name="Wk 31 2026" dataDxfId="657"/>
    <tableColumn id="67" name="Wk 32 2026" dataDxfId="656"/>
    <tableColumn id="68" name="Wk 33 2026" dataDxfId="655"/>
    <tableColumn id="69" name="Wk 34 2026" dataDxfId="654"/>
    <tableColumn id="70" name="Wk 35 2026" dataDxfId="653"/>
    <tableColumn id="71" name="Wk 36 2026" dataDxfId="652"/>
    <tableColumn id="72" name="Wk 37 2026" dataDxfId="651"/>
    <tableColumn id="73" name="Wk 38 2026" dataDxfId="650"/>
    <tableColumn id="74" name="Wk 39 2026" dataDxfId="649"/>
    <tableColumn id="75" name="Wk 40 2026" dataDxfId="648"/>
    <tableColumn id="76" name="Wk 41 2026" dataDxfId="647"/>
    <tableColumn id="77" name="Wk 42 2026" dataDxfId="646"/>
    <tableColumn id="78" name="Wk 43 2026" dataDxfId="645"/>
    <tableColumn id="79" name="Wk 44 2026" dataDxfId="644"/>
    <tableColumn id="80" name="Wk 45 2026" dataDxfId="643"/>
    <tableColumn id="81" name="Wk 46 2026" dataDxfId="642"/>
    <tableColumn id="82" name="Wk 47 2026" dataDxfId="641"/>
    <tableColumn id="83" name="Wk 48 2026" dataDxfId="640"/>
    <tableColumn id="84" name="Wk 49 2026" dataDxfId="639"/>
    <tableColumn id="85" name="Wk 50 2026" dataDxfId="638"/>
    <tableColumn id="86" name="Wk 51 2026" dataDxfId="637"/>
    <tableColumn id="87" name="Wk 52 2026" dataDxfId="6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ctualsUPO" displayName="tblActualsUPO" ref="B31:CJ37" headerRowCount="1" totalsRowShown="0">
  <autoFilter ref="B31:CJ37"/>
  <tableColumns count="87">
    <tableColumn id="1" name="MP" dataDxfId="635"/>
    <tableColumn id="2" name="Wk19 2025" dataDxfId="634"/>
    <tableColumn id="3" name="Wk20 2025" dataDxfId="633"/>
    <tableColumn id="4" name="Wk21 2025" dataDxfId="632"/>
    <tableColumn id="5" name="Wk22 2025" dataDxfId="631"/>
    <tableColumn id="6" name="Wk23 2025" dataDxfId="630"/>
    <tableColumn id="7" name="Wk24 2025"/>
    <tableColumn id="8" name="Wk25 2025"/>
    <tableColumn id="9" name="Wk26 2025"/>
    <tableColumn id="10" name="Wk27 2025"/>
    <tableColumn id="11" name="Wk28 2025"/>
    <tableColumn id="12" name="Wk29 2025"/>
    <tableColumn id="13" name="Wk30 2025"/>
    <tableColumn id="14" name="Wk31 2025"/>
    <tableColumn id="15" name="Wk32 2025"/>
    <tableColumn id="16" name="Wk33 2025"/>
    <tableColumn id="17" name="Wk34 2025"/>
    <tableColumn id="18" name="Wk35 2025"/>
    <tableColumn id="19" name="Wk36 2025"/>
    <tableColumn id="20" name="Wk37 2025"/>
    <tableColumn id="21" name="Wk38 2025"/>
    <tableColumn id="22" name="Wk39 2025" dataDxfId="629"/>
    <tableColumn id="23" name="Wk40 2025" dataDxfId="628"/>
    <tableColumn id="24" name="Wk41 2025" dataDxfId="627"/>
    <tableColumn id="25" name="Wk42 2025" dataDxfId="626"/>
    <tableColumn id="26" name="Wk43 2025" dataDxfId="625"/>
    <tableColumn id="27" name="Wk44 2025" dataDxfId="624"/>
    <tableColumn id="28" name="Wk45 2025" dataDxfId="623"/>
    <tableColumn id="29" name="Wk46 2025" dataDxfId="622"/>
    <tableColumn id="30" name="Wk47 2025" dataDxfId="621">
      <calculatedColumnFormula>AE3/(AE13*AE22)</calculatedColumnFormula>
    </tableColumn>
    <tableColumn id="31" name="Wk48 2025" dataDxfId="620"/>
    <tableColumn id="32" name="Wk49 2025" dataDxfId="619"/>
    <tableColumn id="33" name="Wk50 2025" dataDxfId="618">
      <calculatedColumnFormula>AH3/(AH13*AH22)</calculatedColumnFormula>
    </tableColumn>
    <tableColumn id="34" name="Wk51 2025" dataDxfId="617"/>
    <tableColumn id="35" name="Wk52 2025" dataDxfId="616"/>
    <tableColumn id="36" name="Wk 1 2026" dataDxfId="615"/>
    <tableColumn id="37" name="Wk 2 2026" dataDxfId="614"/>
    <tableColumn id="38" name="Wk 3 2026" dataDxfId="613"/>
    <tableColumn id="39" name="Wk 4 2026" dataDxfId="612"/>
    <tableColumn id="40" name="Wk 5 2026" dataDxfId="0"/>
    <tableColumn id="41" name="Wk 6 2026" dataDxfId="611"/>
    <tableColumn id="42" name="Wk 7 2026" dataDxfId="610"/>
    <tableColumn id="43" name="Wk 8 2026" dataDxfId="609"/>
    <tableColumn id="44" name="Wk 9 2026" dataDxfId="608"/>
    <tableColumn id="45" name="Wk 10 2026" dataDxfId="607"/>
    <tableColumn id="46" name="Wk 11 2026" dataDxfId="606"/>
    <tableColumn id="47" name="Wk 12 2026" dataDxfId="605"/>
    <tableColumn id="48" name="Wk 13 2026" dataDxfId="604"/>
    <tableColumn id="49" name="Wk 14 2026" dataDxfId="603"/>
    <tableColumn id="50" name="Wk 15 2026" dataDxfId="602"/>
    <tableColumn id="51" name="Wk 16 2026" dataDxfId="601"/>
    <tableColumn id="52" name="Wk 17 2026" dataDxfId="600"/>
    <tableColumn id="53" name="Wk 18 2026" dataDxfId="599"/>
    <tableColumn id="54" name="Wk 19 2026" dataDxfId="598"/>
    <tableColumn id="55" name="Wk 20 2026" dataDxfId="597"/>
    <tableColumn id="56" name="Wk 21 2026" dataDxfId="596"/>
    <tableColumn id="57" name="Wk 22 2026" dataDxfId="595"/>
    <tableColumn id="58" name="Wk 23 2026" dataDxfId="594"/>
    <tableColumn id="59" name="Wk 24 2026" dataDxfId="593"/>
    <tableColumn id="60" name="Wk 25 2026" dataDxfId="592"/>
    <tableColumn id="61" name="Wk 26 2026" dataDxfId="591"/>
    <tableColumn id="62" name="Wk 27 2026" dataDxfId="590"/>
    <tableColumn id="63" name="Wk 28 2026" dataDxfId="589"/>
    <tableColumn id="64" name="Wk 29 2026" dataDxfId="588"/>
    <tableColumn id="65" name="Wk 30 2026" dataDxfId="587"/>
    <tableColumn id="66" name="Wk 31 2026" dataDxfId="586"/>
    <tableColumn id="67" name="Wk 32 2026" dataDxfId="585"/>
    <tableColumn id="68" name="Wk 33 2026" dataDxfId="584"/>
    <tableColumn id="69" name="Wk 34 2026" dataDxfId="583"/>
    <tableColumn id="70" name="Wk 35 2026" dataDxfId="582"/>
    <tableColumn id="71" name="Wk 36 2026" dataDxfId="581"/>
    <tableColumn id="72" name="Wk 37 2026" dataDxfId="580"/>
    <tableColumn id="73" name="Wk 38 2026" dataDxfId="579"/>
    <tableColumn id="74" name="Wk 39 2026" dataDxfId="578"/>
    <tableColumn id="75" name="Wk 40 2026" dataDxfId="577"/>
    <tableColumn id="76" name="Wk 41 2026" dataDxfId="576"/>
    <tableColumn id="77" name="Wk 42 2026" dataDxfId="575"/>
    <tableColumn id="78" name="Wk 43 2026" dataDxfId="574"/>
    <tableColumn id="79" name="Wk 44 2026" dataDxfId="573"/>
    <tableColumn id="80" name="Wk 45 2026" dataDxfId="572"/>
    <tableColumn id="81" name="Wk 46 2026" dataDxfId="571"/>
    <tableColumn id="82" name="Wk 47 2026" dataDxfId="570"/>
    <tableColumn id="83" name="Wk 48 2026" dataDxfId="569"/>
    <tableColumn id="84" name="Wk 49 2026" dataDxfId="568"/>
    <tableColumn id="85" name="Wk 50 2026" dataDxfId="567"/>
    <tableColumn id="86" name="Wk 51 2026" dataDxfId="566"/>
    <tableColumn id="87" name="Wk 52 2026" dataDxfId="56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ctualsTransits" displayName="tblActualsTransits" ref="B12:CJ18" headerRowCount="1" totalsRowShown="0">
  <autoFilter ref="B12:CJ18"/>
  <tableColumns count="87">
    <tableColumn id="1" name="MP" dataDxfId="564"/>
    <tableColumn id="2" name="Wk19 2025" dataDxfId="563"/>
    <tableColumn id="3" name="Wk20 2025" dataDxfId="562"/>
    <tableColumn id="4" name="Wk21 2025" dataDxfId="561"/>
    <tableColumn id="5" name="Wk22 2025" dataDxfId="560"/>
    <tableColumn id="6" name="Wk23 2025" dataDxfId="559"/>
    <tableColumn id="7" name="Wk24 2025"/>
    <tableColumn id="8" name="Wk25 2025"/>
    <tableColumn id="9" name="Wk26 2025"/>
    <tableColumn id="10" name="Wk27 2025"/>
    <tableColumn id="11" name="Wk28 2025"/>
    <tableColumn id="12" name="Wk29 2025"/>
    <tableColumn id="13" name="Wk30 2025"/>
    <tableColumn id="14" name="Wk31 2025"/>
    <tableColumn id="15" name="Wk32 2025"/>
    <tableColumn id="16" name="Wk33 2025"/>
    <tableColumn id="17" name="Wk34 2025"/>
    <tableColumn id="18" name="Wk35 2025"/>
    <tableColumn id="19" name="Wk36 2025"/>
    <tableColumn id="20" name="Wk37 2025"/>
    <tableColumn id="21" name="Wk38 2025"/>
    <tableColumn id="22" name="Wk39 2025"/>
    <tableColumn id="23" name="Wk40 2025" dataDxfId="558"/>
    <tableColumn id="24" name="Wk41 2025" dataDxfId="557"/>
    <tableColumn id="25" name="Wk42 2025" dataDxfId="556"/>
    <tableColumn id="26" name="Wk43 2025" dataDxfId="555"/>
    <tableColumn id="27" name="Wk44 2025" dataDxfId="554"/>
    <tableColumn id="28" name="Wk45 2025" dataDxfId="553"/>
    <tableColumn id="29" name="Wk46 2025" dataDxfId="552"/>
    <tableColumn id="30" name="Wk47 2025" dataDxfId="551"/>
    <tableColumn id="31" name="Wk48 2025" dataDxfId="550"/>
    <tableColumn id="32" name="Wk49 2025" dataDxfId="549"/>
    <tableColumn id="33" name="Wk50 2025" dataDxfId="548"/>
    <tableColumn id="34" name="Wk51 2025" dataDxfId="547"/>
    <tableColumn id="35" name="Wk52 2025" dataDxfId="546"/>
    <tableColumn id="36" name="Wk 1 2026" dataDxfId="545"/>
    <tableColumn id="37" name="Wk 2 2026" dataDxfId="544"/>
    <tableColumn id="38" name="Wk 3 2026" dataDxfId="543"/>
    <tableColumn id="39" name="Wk 4 2026" dataDxfId="542"/>
    <tableColumn id="40" name="Wk 5 2026" dataDxfId="2"/>
    <tableColumn id="41" name="Wk 6 2026" dataDxfId="541"/>
    <tableColumn id="42" name="Wk 7 2026" dataDxfId="540"/>
    <tableColumn id="43" name="Wk 8 2026" dataDxfId="539"/>
    <tableColumn id="44" name="Wk 9 2026" dataDxfId="538"/>
    <tableColumn id="45" name="Wk 10 2026" dataDxfId="537"/>
    <tableColumn id="46" name="Wk 11 2026" dataDxfId="536"/>
    <tableColumn id="47" name="Wk 12 2026" dataDxfId="535"/>
    <tableColumn id="48" name="Wk 13 2026" dataDxfId="534"/>
    <tableColumn id="49" name="Wk 14 2026" dataDxfId="533"/>
    <tableColumn id="50" name="Wk 15 2026" dataDxfId="532"/>
    <tableColumn id="51" name="Wk 16 2026" dataDxfId="531"/>
    <tableColumn id="52" name="Wk 17 2026" dataDxfId="530"/>
    <tableColumn id="53" name="Wk 18 2026" dataDxfId="529"/>
    <tableColumn id="54" name="Wk 19 2026" dataDxfId="528"/>
    <tableColumn id="55" name="Wk 20 2026" dataDxfId="527"/>
    <tableColumn id="56" name="Wk 21 2026" dataDxfId="526"/>
    <tableColumn id="57" name="Wk 22 2026" dataDxfId="525"/>
    <tableColumn id="58" name="Wk 23 2026" dataDxfId="524"/>
    <tableColumn id="59" name="Wk 24 2026" dataDxfId="523"/>
    <tableColumn id="60" name="Wk 25 2026" dataDxfId="522"/>
    <tableColumn id="61" name="Wk 26 2026" dataDxfId="521"/>
    <tableColumn id="62" name="Wk 27 2026" dataDxfId="520"/>
    <tableColumn id="63" name="Wk 28 2026" dataDxfId="519"/>
    <tableColumn id="64" name="Wk 29 2026" dataDxfId="518"/>
    <tableColumn id="65" name="Wk 30 2026" dataDxfId="517"/>
    <tableColumn id="66" name="Wk 31 2026" dataDxfId="516"/>
    <tableColumn id="67" name="Wk 32 2026" dataDxfId="515"/>
    <tableColumn id="68" name="Wk 33 2026" dataDxfId="514"/>
    <tableColumn id="69" name="Wk 34 2026" dataDxfId="513"/>
    <tableColumn id="70" name="Wk 35 2026" dataDxfId="512"/>
    <tableColumn id="71" name="Wk 36 2026" dataDxfId="511"/>
    <tableColumn id="72" name="Wk 37 2026" dataDxfId="510"/>
    <tableColumn id="73" name="Wk 38 2026" dataDxfId="509"/>
    <tableColumn id="74" name="Wk 39 2026" dataDxfId="508"/>
    <tableColumn id="75" name="Wk 40 2026" dataDxfId="507"/>
    <tableColumn id="76" name="Wk 41 2026" dataDxfId="506"/>
    <tableColumn id="77" name="Wk 42 2026" dataDxfId="505"/>
    <tableColumn id="78" name="Wk 43 2026" dataDxfId="504"/>
    <tableColumn id="79" name="Wk 44 2026" dataDxfId="503"/>
    <tableColumn id="80" name="Wk 45 2026" dataDxfId="502"/>
    <tableColumn id="81" name="Wk 46 2026" dataDxfId="501"/>
    <tableColumn id="82" name="Wk 47 2026" dataDxfId="500"/>
    <tableColumn id="83" name="Wk 48 2026" dataDxfId="499"/>
    <tableColumn id="84" name="Wk 49 2026" dataDxfId="498"/>
    <tableColumn id="85" name="Wk 50 2026" dataDxfId="497"/>
    <tableColumn id="86" name="Wk 51 2026" dataDxfId="496"/>
    <tableColumn id="87" name="Wk 52 2026" dataDxfId="49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ActualsConversion" displayName="tblActualsConversion" ref="B21:CJ27" headerRowCount="1" totalsRowShown="0" headerRowDxfId="494" dataDxfId="493">
  <autoFilter ref="B21:CJ27"/>
  <tableColumns count="87">
    <tableColumn id="1" name="MP" dataDxfId="492"/>
    <tableColumn id="2" name="Wk19 2025" dataDxfId="491"/>
    <tableColumn id="3" name="Wk20 2025" dataDxfId="490"/>
    <tableColumn id="4" name="Wk21 2025" dataDxfId="489"/>
    <tableColumn id="5" name="Wk22 2025" dataDxfId="488"/>
    <tableColumn id="6" name="Wk23 2025" dataDxfId="487"/>
    <tableColumn id="7" name="Wk24 2025" dataDxfId="486"/>
    <tableColumn id="8" name="Wk25 2025" dataDxfId="485"/>
    <tableColumn id="9" name="Wk26 2025" dataDxfId="484"/>
    <tableColumn id="10" name="Wk27 2025" dataDxfId="483"/>
    <tableColumn id="11" name="Wk28 2025" dataDxfId="482"/>
    <tableColumn id="12" name="Wk29 2025" dataDxfId="481"/>
    <tableColumn id="13" name="Wk30 2025" dataDxfId="480"/>
    <tableColumn id="14" name="Wk31 2025" dataDxfId="479"/>
    <tableColumn id="15" name="Wk32 2025" dataDxfId="478"/>
    <tableColumn id="16" name="Wk33 2025" dataDxfId="477"/>
    <tableColumn id="17" name="Wk34 2025" dataDxfId="476"/>
    <tableColumn id="18" name="Wk35 2025" dataDxfId="475"/>
    <tableColumn id="19" name="Wk36 2025" dataDxfId="474"/>
    <tableColumn id="20" name="Wk37 2025" dataDxfId="473"/>
    <tableColumn id="21" name="Wk38 2025" dataDxfId="472"/>
    <tableColumn id="22" name="Wk39 2025" dataDxfId="471"/>
    <tableColumn id="23" name="Wk40 2025" dataDxfId="470" dataCellStyle="Percent"/>
    <tableColumn id="24" name="Wk41 2025" dataDxfId="469" dataCellStyle="Percent"/>
    <tableColumn id="25" name="Wk42 2025" dataDxfId="468" dataCellStyle="Percent"/>
    <tableColumn id="26" name="Wk43 2025" dataDxfId="467" dataCellStyle="Percent"/>
    <tableColumn id="27" name="Wk44 2025" dataDxfId="466" dataCellStyle="Percent"/>
    <tableColumn id="28" name="Wk45 2025" dataDxfId="465" dataCellStyle="Percent"/>
    <tableColumn id="29" name="Wk46 2025" dataDxfId="464" dataCellStyle="Percent"/>
    <tableColumn id="30" name="Wk47 2025" dataDxfId="463" dataCellStyle="Percent"/>
    <tableColumn id="31" name="Wk48 2025" dataDxfId="462" dataCellStyle="Percent"/>
    <tableColumn id="32" name="Wk49 2025" dataDxfId="461" dataCellStyle="Percent"/>
    <tableColumn id="33" name="Wk50 2025" dataDxfId="460" dataCellStyle="Percent"/>
    <tableColumn id="34" name="Wk51 2025" dataDxfId="459" dataCellStyle="Percent"/>
    <tableColumn id="35" name="Wk52 2025" dataDxfId="458" dataCellStyle="Percent"/>
    <tableColumn id="36" name="Wk 1 2026" dataDxfId="457" dataCellStyle="Percent"/>
    <tableColumn id="37" name="Wk 2 2026" dataDxfId="456" dataCellStyle="Percent"/>
    <tableColumn id="38" name="Wk 3 2026" dataDxfId="455" dataCellStyle="Percent"/>
    <tableColumn id="39" name="Wk 4 2026" dataDxfId="454" dataCellStyle="Percent"/>
    <tableColumn id="40" name="Wk 5 2026" dataDxfId="1" dataCellStyle="Percent"/>
    <tableColumn id="41" name="Wk 6 2026" dataDxfId="453" dataCellStyle="Percent"/>
    <tableColumn id="42" name="Wk 7 2026" dataDxfId="452" dataCellStyle="Percent"/>
    <tableColumn id="43" name="Wk 8 2026" dataDxfId="451" dataCellStyle="Percent"/>
    <tableColumn id="44" name="Wk 9 2026" dataDxfId="450" dataCellStyle="Percent"/>
    <tableColumn id="45" name="Wk 10 2026" dataDxfId="449" dataCellStyle="Percent"/>
    <tableColumn id="46" name="Wk 11 2026" dataDxfId="448" dataCellStyle="Percent"/>
    <tableColumn id="47" name="Wk 12 2026" dataDxfId="447" dataCellStyle="Percent"/>
    <tableColumn id="48" name="Wk 13 2026" dataDxfId="446" dataCellStyle="Percent"/>
    <tableColumn id="49" name="Wk 14 2026" dataDxfId="445" dataCellStyle="Percent"/>
    <tableColumn id="50" name="Wk 15 2026" dataDxfId="444" dataCellStyle="Percent"/>
    <tableColumn id="51" name="Wk 16 2026" dataDxfId="443" dataCellStyle="Percent"/>
    <tableColumn id="52" name="Wk 17 2026" dataDxfId="442" dataCellStyle="Percent"/>
    <tableColumn id="53" name="Wk 18 2026" dataDxfId="441" dataCellStyle="Percent"/>
    <tableColumn id="54" name="Wk 19 2026" dataDxfId="440" dataCellStyle="Percent"/>
    <tableColumn id="55" name="Wk 20 2026" dataDxfId="439" dataCellStyle="Percent"/>
    <tableColumn id="56" name="Wk 21 2026" dataDxfId="438" dataCellStyle="Percent"/>
    <tableColumn id="57" name="Wk 22 2026" dataDxfId="437" dataCellStyle="Percent"/>
    <tableColumn id="58" name="Wk 23 2026" dataDxfId="436" dataCellStyle="Percent"/>
    <tableColumn id="59" name="Wk 24 2026" dataDxfId="435" dataCellStyle="Percent"/>
    <tableColumn id="60" name="Wk 25 2026" dataDxfId="434" dataCellStyle="Percent"/>
    <tableColumn id="61" name="Wk 26 2026" dataDxfId="433" dataCellStyle="Percent"/>
    <tableColumn id="62" name="Wk 27 2026" dataDxfId="432" dataCellStyle="Percent"/>
    <tableColumn id="63" name="Wk 28 2026" dataDxfId="431" dataCellStyle="Percent"/>
    <tableColumn id="64" name="Wk 29 2026" dataDxfId="430" dataCellStyle="Percent"/>
    <tableColumn id="65" name="Wk 30 2026" dataDxfId="429" dataCellStyle="Percent"/>
    <tableColumn id="66" name="Wk 31 2026" dataDxfId="428" dataCellStyle="Percent"/>
    <tableColumn id="67" name="Wk 32 2026" dataDxfId="427" dataCellStyle="Percent"/>
    <tableColumn id="68" name="Wk 33 2026" dataDxfId="426" dataCellStyle="Percent"/>
    <tableColumn id="69" name="Wk 34 2026" dataDxfId="425" dataCellStyle="Percent"/>
    <tableColumn id="70" name="Wk 35 2026" dataDxfId="424" dataCellStyle="Percent"/>
    <tableColumn id="71" name="Wk 36 2026" dataDxfId="423" dataCellStyle="Percent"/>
    <tableColumn id="72" name="Wk 37 2026" dataDxfId="422" dataCellStyle="Percent"/>
    <tableColumn id="73" name="Wk 38 2026" dataDxfId="421" dataCellStyle="Percent"/>
    <tableColumn id="74" name="Wk 39 2026" dataDxfId="420" dataCellStyle="Percent"/>
    <tableColumn id="75" name="Wk 40 2026" dataDxfId="419" dataCellStyle="Percent"/>
    <tableColumn id="76" name="Wk 41 2026" dataDxfId="418" dataCellStyle="Percent"/>
    <tableColumn id="77" name="Wk 42 2026" dataDxfId="417" dataCellStyle="Percent"/>
    <tableColumn id="78" name="Wk 43 2026" dataDxfId="416" dataCellStyle="Percent"/>
    <tableColumn id="79" name="Wk 44 2026" dataDxfId="415" dataCellStyle="Percent"/>
    <tableColumn id="80" name="Wk 45 2026" dataDxfId="414" dataCellStyle="Percent"/>
    <tableColumn id="81" name="Wk 46 2026" dataDxfId="413" dataCellStyle="Percent"/>
    <tableColumn id="82" name="Wk 47 2026" dataDxfId="412" dataCellStyle="Percent"/>
    <tableColumn id="83" name="Wk 48 2026" dataDxfId="411" dataCellStyle="Percent"/>
    <tableColumn id="84" name="Wk 49 2026" dataDxfId="410" dataCellStyle="Percent"/>
    <tableColumn id="85" name="Wk 50 2026" dataDxfId="409" dataCellStyle="Percent"/>
    <tableColumn id="86" name="Wk 51 2026" dataDxfId="408" dataCellStyle="Percent"/>
    <tableColumn id="87" name="Wk 52 2026" dataDxfId="407" dataCellStyle="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ForecastUnits24" displayName="tblForecastUnits24" ref="B3:CJ9" headerRowCount="1" totalsRowShown="0">
  <autoFilter ref="B3:CJ9"/>
  <sortState ref="B4:AK9">
    <sortCondition ref="D3:D9"/>
  </sortState>
  <tableColumns count="87">
    <tableColumn id="1" name="MP"/>
    <tableColumn id="2" name="Wk19 2025" dataDxfId="406"/>
    <tableColumn id="3" name="Wk20 2025" dataDxfId="405"/>
    <tableColumn id="4" name="Wk21 2025" dataDxfId="404"/>
    <tableColumn id="5" name="Wk22 2025" dataDxfId="403"/>
    <tableColumn id="6" name="Wk23 2025" dataDxfId="402"/>
    <tableColumn id="7" name="Wk24 2025" dataDxfId="401"/>
    <tableColumn id="8" name="Wk25 2025" dataDxfId="400"/>
    <tableColumn id="9" name="Wk26 2025" dataDxfId="399"/>
    <tableColumn id="10" name="Wk27 2025" dataDxfId="398"/>
    <tableColumn id="11" name="Wk28 2025" dataDxfId="397"/>
    <tableColumn id="12" name="Wk29 2025" dataDxfId="396"/>
    <tableColumn id="13" name="Wk30 2025" dataDxfId="395"/>
    <tableColumn id="14" name="Wk31 2025" dataDxfId="394"/>
    <tableColumn id="15" name="Wk32 2025" dataDxfId="393"/>
    <tableColumn id="16" name="Wk33 2025" dataDxfId="392"/>
    <tableColumn id="17" name="Wk34 2025" dataDxfId="391"/>
    <tableColumn id="18" name="Wk35 2025" dataDxfId="390"/>
    <tableColumn id="19" name="Wk36 2025" dataDxfId="389"/>
    <tableColumn id="20" name="Wk37 2025" dataDxfId="388"/>
    <tableColumn id="21" name="Wk38 2025" dataDxfId="387"/>
    <tableColumn id="22" name="Wk39 2025" dataDxfId="386"/>
    <tableColumn id="23" name="Wk40 2025" dataDxfId="385"/>
    <tableColumn id="24" name="Wk41 2025" dataDxfId="384"/>
    <tableColumn id="25" name="Wk42 2025" dataDxfId="383"/>
    <tableColumn id="26" name="Wk43 2025" dataDxfId="382"/>
    <tableColumn id="27" name="Wk44 2025" dataDxfId="381"/>
    <tableColumn id="28" name="Wk45 2025" dataDxfId="380"/>
    <tableColumn id="29" name="Wk46 2025" dataDxfId="379"/>
    <tableColumn id="30" name="Wk47 2025" dataDxfId="378"/>
    <tableColumn id="31" name="Wk48 2025" dataDxfId="377"/>
    <tableColumn id="32" name="Wk49 2025" dataDxfId="376"/>
    <tableColumn id="33" name="Wk50 2025" dataDxfId="375"/>
    <tableColumn id="34" name="Wk51 2025" dataDxfId="374"/>
    <tableColumn id="35" name="Wk52 2025" dataDxfId="373"/>
    <tableColumn id="36" name="Wk 1 2026" dataDxfId="372">
      <calculatedColumnFormula>AK15*AK26*AK37</calculatedColumnFormula>
    </tableColumn>
    <tableColumn id="37" name="Wk 2 2026" dataDxfId="371">
      <calculatedColumnFormula>AL15*AL26*AL37</calculatedColumnFormula>
    </tableColumn>
    <tableColumn id="38" name="Wk 3 2026" dataDxfId="370">
      <calculatedColumnFormula>AM15*AM26*AM37</calculatedColumnFormula>
    </tableColumn>
    <tableColumn id="39" name="Wk 4 2026" dataDxfId="369">
      <calculatedColumnFormula>AN15*AN26*AN37</calculatedColumnFormula>
    </tableColumn>
    <tableColumn id="40" name="Wk 5 2026" dataDxfId="368">
      <calculatedColumnFormula>AO15*AO26*AO37</calculatedColumnFormula>
    </tableColumn>
    <tableColumn id="41" name="Wk 6 2026" dataDxfId="367">
      <calculatedColumnFormula>AP15*AP26*AP37</calculatedColumnFormula>
    </tableColumn>
    <tableColumn id="42" name="Wk 7 2026" dataDxfId="366">
      <calculatedColumnFormula>AQ15*AQ26*AQ37</calculatedColumnFormula>
    </tableColumn>
    <tableColumn id="43" name="Wk 8 2026" dataDxfId="365">
      <calculatedColumnFormula>AR15*AR26*AR37</calculatedColumnFormula>
    </tableColumn>
    <tableColumn id="44" name="Wk 9 2026" dataDxfId="364">
      <calculatedColumnFormula>AS15*AS26*AS37</calculatedColumnFormula>
    </tableColumn>
    <tableColumn id="45" name="Wk 10 2026" dataDxfId="363">
      <calculatedColumnFormula>AT15*AT26*AT37</calculatedColumnFormula>
    </tableColumn>
    <tableColumn id="46" name="Wk 11 2026" dataDxfId="362"/>
    <tableColumn id="47" name="Wk 12 2026" dataDxfId="361"/>
    <tableColumn id="48" name="Wk 13 2026" dataDxfId="360"/>
    <tableColumn id="49" name="Wk 14 2026" dataDxfId="359"/>
    <tableColumn id="50" name="Wk 15 2026" dataDxfId="358"/>
    <tableColumn id="51" name="Wk 16 2026" dataDxfId="357"/>
    <tableColumn id="52" name="Wk 17 2026" dataDxfId="356"/>
    <tableColumn id="53" name="Wk 18 2026" dataDxfId="355"/>
    <tableColumn id="54" name="Wk 19 2026" dataDxfId="354"/>
    <tableColumn id="55" name="Wk 20 2026" dataDxfId="353"/>
    <tableColumn id="56" name="Wk 21 2026" dataDxfId="352"/>
    <tableColumn id="57" name="Wk 22 2026" dataDxfId="351"/>
    <tableColumn id="58" name="Wk 23 2026" dataDxfId="350"/>
    <tableColumn id="59" name="Wk 24 2026" dataDxfId="349"/>
    <tableColumn id="60" name="Wk 25 2026" dataDxfId="348"/>
    <tableColumn id="61" name="Wk 26 2026" dataDxfId="347"/>
    <tableColumn id="62" name="Wk 27 2026" dataDxfId="346"/>
    <tableColumn id="63" name="Wk 28 2026" dataDxfId="345"/>
    <tableColumn id="64" name="Wk 29 2026" dataDxfId="344"/>
    <tableColumn id="65" name="Wk 30 2026" dataDxfId="343"/>
    <tableColumn id="66" name="Wk 31 2026" dataDxfId="342"/>
    <tableColumn id="67" name="Wk 32 2026" dataDxfId="341"/>
    <tableColumn id="68" name="Wk 33 2026" dataDxfId="340"/>
    <tableColumn id="69" name="Wk 34 2026" dataDxfId="339"/>
    <tableColumn id="70" name="Wk 35 2026" dataDxfId="338"/>
    <tableColumn id="71" name="Wk 36 2026" dataDxfId="337"/>
    <tableColumn id="72" name="Wk 37 2026" dataDxfId="336"/>
    <tableColumn id="73" name="Wk 38 2026" dataDxfId="335"/>
    <tableColumn id="74" name="Wk 39 2026" dataDxfId="334"/>
    <tableColumn id="75" name="Wk 40 2026" dataDxfId="333"/>
    <tableColumn id="76" name="Wk 41 2026" dataDxfId="332"/>
    <tableColumn id="77" name="Wk 42 2026" dataDxfId="331"/>
    <tableColumn id="78" name="Wk 43 2026" dataDxfId="330"/>
    <tableColumn id="79" name="Wk 44 2026" dataDxfId="329"/>
    <tableColumn id="80" name="Wk 45 2026" dataDxfId="328"/>
    <tableColumn id="81" name="Wk 46 2026" dataDxfId="327"/>
    <tableColumn id="82" name="Wk 47 2026" dataDxfId="326"/>
    <tableColumn id="83" name="Wk 48 2026" dataDxfId="325"/>
    <tableColumn id="84" name="Wk 49 2026" dataDxfId="324"/>
    <tableColumn id="85" name="Wk 50 2026" dataDxfId="323"/>
    <tableColumn id="86" name="Wk 51 2026" dataDxfId="322"/>
    <tableColumn id="87" name="Wk 52 2026" dataDxfId="32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ForecastTransits25" displayName="tblForecastTransits25" ref="B14:CJ20" headerRowCount="1" totalsRowShown="0" headerRowDxfId="320" dataDxfId="318" headerRowBorderDxfId="319" tableBorderDxfId="317">
  <autoFilter ref="B14:CJ20"/>
  <tableColumns count="87">
    <tableColumn id="1" name="MP"/>
    <tableColumn id="2" name="Wk19 2025" dataDxfId="316"/>
    <tableColumn id="3" name="Wk20 2025" dataDxfId="315"/>
    <tableColumn id="4" name="Wk21 2025" dataDxfId="314"/>
    <tableColumn id="5" name="Wk22 2025" dataDxfId="313"/>
    <tableColumn id="6" name="Wk23 2025" dataDxfId="312"/>
    <tableColumn id="7" name="Wk24 2025" dataDxfId="311"/>
    <tableColumn id="8" name="Wk25 2025" dataDxfId="310"/>
    <tableColumn id="9" name="Wk26 2025" dataDxfId="309"/>
    <tableColumn id="10" name="Wk27 2025" dataDxfId="308"/>
    <tableColumn id="11" name="Wk28 2025" dataDxfId="307"/>
    <tableColumn id="12" name="Wk29 2025" dataDxfId="306"/>
    <tableColumn id="13" name="Wk30 2025" dataDxfId="305"/>
    <tableColumn id="14" name="Wk31 2025" dataDxfId="304"/>
    <tableColumn id="15" name="Wk32 2025" dataDxfId="303"/>
    <tableColumn id="16" name="Wk33 2025" dataDxfId="302"/>
    <tableColumn id="17" name="Wk34 2025" dataDxfId="301"/>
    <tableColumn id="18" name="Wk35 2025" dataDxfId="300"/>
    <tableColumn id="19" name="Wk36 2025" dataDxfId="299"/>
    <tableColumn id="20" name="Wk37 2025" dataDxfId="298"/>
    <tableColumn id="21" name="Wk38 2025" dataDxfId="297"/>
    <tableColumn id="22" name="Wk39 2025" dataDxfId="296"/>
    <tableColumn id="23" name="Wk40 2025" dataDxfId="295"/>
    <tableColumn id="24" name="Wk41 2025" dataDxfId="294"/>
    <tableColumn id="25" name="Wk42 2025" dataDxfId="293"/>
    <tableColumn id="26" name="Wk43 2025" dataDxfId="292"/>
    <tableColumn id="27" name="Wk44 2025" dataDxfId="291"/>
    <tableColumn id="28" name="Wk45 2025" dataDxfId="290"/>
    <tableColumn id="29" name="Wk46 2025" dataDxfId="289"/>
    <tableColumn id="30" name="Wk47 2025" dataDxfId="288"/>
    <tableColumn id="31" name="Wk48 2025" dataDxfId="287"/>
    <tableColumn id="32" name="Wk49 2025" dataDxfId="286"/>
    <tableColumn id="33" name="Wk50 2025" dataDxfId="285"/>
    <tableColumn id="34" name="Wk51 2025" dataDxfId="284"/>
    <tableColumn id="35" name="Wk52 2025" dataDxfId="283"/>
    <tableColumn id="36" name="Wk 1 2026" dataDxfId="282"/>
    <tableColumn id="37" name="Wk 2 2026" dataDxfId="281"/>
    <tableColumn id="38" name="Wk 3 2026" dataDxfId="280"/>
    <tableColumn id="39" name="Wk 4 2026" dataDxfId="279"/>
    <tableColumn id="40" name="Wk 5 2026" dataDxfId="278"/>
    <tableColumn id="41" name="Wk 6 2026" dataDxfId="277"/>
    <tableColumn id="42" name="Wk 7 2026" dataDxfId="276"/>
    <tableColumn id="43" name="Wk 8 2026" dataDxfId="275"/>
    <tableColumn id="44" name="Wk 9 2026" dataDxfId="274"/>
    <tableColumn id="45" name="Wk 10 2026" dataDxfId="273"/>
    <tableColumn id="46" name="Wk 11 2026" dataDxfId="272"/>
    <tableColumn id="47" name="Wk 12 2026" dataDxfId="271"/>
    <tableColumn id="48" name="Wk 13 2026" dataDxfId="270"/>
    <tableColumn id="49" name="Wk 14 2026" dataDxfId="269"/>
    <tableColumn id="50" name="Wk 15 2026" dataDxfId="268"/>
    <tableColumn id="51" name="Wk 16 2026" dataDxfId="267"/>
    <tableColumn id="52" name="Wk 17 2026" dataDxfId="266"/>
    <tableColumn id="53" name="Wk 18 2026" dataDxfId="265"/>
    <tableColumn id="54" name="Wk 19 2026" dataDxfId="264"/>
    <tableColumn id="55" name="Wk 20 2026" dataDxfId="263"/>
    <tableColumn id="56" name="Wk 21 2026" dataDxfId="262"/>
    <tableColumn id="57" name="Wk 22 2026" dataDxfId="261"/>
    <tableColumn id="58" name="Wk 23 2026" dataDxfId="260"/>
    <tableColumn id="59" name="Wk 24 2026" dataDxfId="259"/>
    <tableColumn id="60" name="Wk 25 2026" dataDxfId="258"/>
    <tableColumn id="61" name="Wk 26 2026" dataDxfId="257"/>
    <tableColumn id="62" name="Wk 27 2026" dataDxfId="256"/>
    <tableColumn id="63" name="Wk 28 2026" dataDxfId="255"/>
    <tableColumn id="64" name="Wk 29 2026" dataDxfId="254"/>
    <tableColumn id="65" name="Wk 30 2026" dataDxfId="253"/>
    <tableColumn id="66" name="Wk 31 2026" dataDxfId="252"/>
    <tableColumn id="67" name="Wk 32 2026" dataDxfId="251"/>
    <tableColumn id="68" name="Wk 33 2026" dataDxfId="250"/>
    <tableColumn id="69" name="Wk 34 2026" dataDxfId="249"/>
    <tableColumn id="70" name="Wk 35 2026" dataDxfId="248"/>
    <tableColumn id="71" name="Wk 36 2026" dataDxfId="247"/>
    <tableColumn id="72" name="Wk 37 2026" dataDxfId="246"/>
    <tableColumn id="73" name="Wk 38 2026" dataDxfId="245"/>
    <tableColumn id="74" name="Wk 39 2026" dataDxfId="244"/>
    <tableColumn id="75" name="Wk 40 2026" dataDxfId="243"/>
    <tableColumn id="76" name="Wk 41 2026" dataDxfId="242"/>
    <tableColumn id="77" name="Wk 42 2026" dataDxfId="241"/>
    <tableColumn id="78" name="Wk 43 2026" dataDxfId="240"/>
    <tableColumn id="79" name="Wk 44 2026" dataDxfId="239"/>
    <tableColumn id="80" name="Wk 45 2026" dataDxfId="238"/>
    <tableColumn id="81" name="Wk 46 2026" dataDxfId="237"/>
    <tableColumn id="82" name="Wk 47 2026" dataDxfId="236"/>
    <tableColumn id="83" name="Wk 48 2026" dataDxfId="235"/>
    <tableColumn id="84" name="Wk 49 2026" dataDxfId="234"/>
    <tableColumn id="85" name="Wk 50 2026" dataDxfId="233"/>
    <tableColumn id="86" name="Wk 51 2026" dataDxfId="232"/>
    <tableColumn id="87" name="Wk 52 2026" dataDxfId="23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ForecastConversion26" displayName="tblForecastConversion26" ref="B25:CJ31" headerRowCount="1" totalsRowShown="0" headerRowDxfId="230" headerRowBorderDxfId="229" tableBorderDxfId="228">
  <autoFilter ref="B25:CJ31"/>
  <tableColumns count="87">
    <tableColumn id="1" name="MP"/>
    <tableColumn id="2" name="Wk19 2025" dataDxfId="227"/>
    <tableColumn id="3" name="Wk20 2025" dataDxfId="226"/>
    <tableColumn id="4" name="Wk21 2025" dataDxfId="225"/>
    <tableColumn id="5" name="Wk22 2025" dataDxfId="224"/>
    <tableColumn id="6" name="Wk23 2025" dataDxfId="223"/>
    <tableColumn id="7" name="Wk24 2025" dataDxfId="222"/>
    <tableColumn id="8" name="Wk25 2025" dataDxfId="221"/>
    <tableColumn id="9" name="Wk26 2025" dataDxfId="220"/>
    <tableColumn id="10" name="Wk27 2025" dataDxfId="219"/>
    <tableColumn id="11" name="Wk28 2025" dataDxfId="218"/>
    <tableColumn id="12" name="Wk29 2025" dataDxfId="217"/>
    <tableColumn id="13" name="Wk30 2025" dataDxfId="216"/>
    <tableColumn id="14" name="Wk31 2025" dataDxfId="215"/>
    <tableColumn id="15" name="Wk32 2025" dataDxfId="214"/>
    <tableColumn id="16" name="Wk33 2025" dataDxfId="213"/>
    <tableColumn id="17" name="Wk34 2025" dataDxfId="212"/>
    <tableColumn id="18" name="Wk35 2025" dataDxfId="211"/>
    <tableColumn id="19" name="Wk36 2025" dataDxfId="210"/>
    <tableColumn id="20" name="Wk37 2025" dataDxfId="209"/>
    <tableColumn id="21" name="Wk38 2025" dataDxfId="208"/>
    <tableColumn id="22" name="Wk39 2025" dataDxfId="207"/>
    <tableColumn id="23" name="Wk40 2025" dataDxfId="206"/>
    <tableColumn id="24" name="Wk41 2025" dataDxfId="205"/>
    <tableColumn id="25" name="Wk42 2025" dataDxfId="204"/>
    <tableColumn id="26" name="Wk43 2025" dataDxfId="203"/>
    <tableColumn id="27" name="Wk44 2025" dataDxfId="202"/>
    <tableColumn id="28" name="Wk45 2025" dataDxfId="201"/>
    <tableColumn id="29" name="Wk46 2025" dataDxfId="200"/>
    <tableColumn id="30" name="Wk47 2025" dataDxfId="199"/>
    <tableColumn id="31" name="Wk48 2025" dataDxfId="198"/>
    <tableColumn id="32" name="Wk49 2025" dataDxfId="197"/>
    <tableColumn id="33" name="Wk50 2025" dataDxfId="196"/>
    <tableColumn id="34" name="Wk51 2025" dataDxfId="195"/>
    <tableColumn id="35" name="Wk52 2025" dataDxfId="194"/>
    <tableColumn id="36" name="Wk 1 2026" dataDxfId="193"/>
    <tableColumn id="37" name="Wk 2 2026" dataDxfId="192"/>
    <tableColumn id="38" name="Wk 3 2026" dataDxfId="191"/>
    <tableColumn id="39" name="Wk 4 2026" dataDxfId="190"/>
    <tableColumn id="40" name="Wk 5 2026" dataDxfId="189"/>
    <tableColumn id="41" name="Wk 6 2026" dataDxfId="188"/>
    <tableColumn id="42" name="Wk 7 2026" dataDxfId="187"/>
    <tableColumn id="43" name="Wk 8 2026" dataDxfId="186"/>
    <tableColumn id="44" name="Wk 9 2026" dataDxfId="185"/>
    <tableColumn id="45" name="Wk 10 2026" dataDxfId="184"/>
    <tableColumn id="46" name="Wk 11 2026" dataDxfId="183"/>
    <tableColumn id="47" name="Wk 12 2026" dataDxfId="182"/>
    <tableColumn id="48" name="Wk 13 2026" dataDxfId="181"/>
    <tableColumn id="49" name="Wk 14 2026" dataDxfId="180"/>
    <tableColumn id="50" name="Wk 15 2026" dataDxfId="179"/>
    <tableColumn id="51" name="Wk 16 2026" dataDxfId="178"/>
    <tableColumn id="52" name="Wk 17 2026" dataDxfId="177"/>
    <tableColumn id="53" name="Wk 18 2026" dataDxfId="176"/>
    <tableColumn id="54" name="Wk 19 2026" dataDxfId="175"/>
    <tableColumn id="55" name="Wk 20 2026" dataDxfId="174"/>
    <tableColumn id="56" name="Wk 21 2026" dataDxfId="173"/>
    <tableColumn id="57" name="Wk 22 2026" dataDxfId="172"/>
    <tableColumn id="58" name="Wk 23 2026" dataDxfId="171"/>
    <tableColumn id="59" name="Wk 24 2026" dataDxfId="170"/>
    <tableColumn id="60" name="Wk 25 2026" dataDxfId="169"/>
    <tableColumn id="61" name="Wk 26 2026" dataDxfId="168"/>
    <tableColumn id="62" name="Wk 27 2026" dataDxfId="167"/>
    <tableColumn id="63" name="Wk 28 2026" dataDxfId="166"/>
    <tableColumn id="64" name="Wk 29 2026" dataDxfId="165"/>
    <tableColumn id="65" name="Wk 30 2026" dataDxfId="164"/>
    <tableColumn id="66" name="Wk 31 2026" dataDxfId="163"/>
    <tableColumn id="67" name="Wk 32 2026" dataDxfId="162"/>
    <tableColumn id="68" name="Wk 33 2026" dataDxfId="161"/>
    <tableColumn id="69" name="Wk 34 2026" dataDxfId="160"/>
    <tableColumn id="70" name="Wk 35 2026" dataDxfId="159"/>
    <tableColumn id="71" name="Wk 36 2026" dataDxfId="158"/>
    <tableColumn id="72" name="Wk 37 2026" dataDxfId="157"/>
    <tableColumn id="73" name="Wk 38 2026" dataDxfId="156"/>
    <tableColumn id="74" name="Wk 39 2026" dataDxfId="155"/>
    <tableColumn id="75" name="Wk 40 2026" dataDxfId="154"/>
    <tableColumn id="76" name="Wk 41 2026" dataDxfId="153"/>
    <tableColumn id="77" name="Wk 42 2026" dataDxfId="152"/>
    <tableColumn id="78" name="Wk 43 2026" dataDxfId="151"/>
    <tableColumn id="79" name="Wk 44 2026" dataDxfId="150"/>
    <tableColumn id="80" name="Wk 45 2026" dataDxfId="149"/>
    <tableColumn id="81" name="Wk 46 2026" dataDxfId="148"/>
    <tableColumn id="82" name="Wk 47 2026" dataDxfId="147"/>
    <tableColumn id="83" name="Wk 48 2026" dataDxfId="146"/>
    <tableColumn id="84" name="Wk 49 2026" dataDxfId="145"/>
    <tableColumn id="85" name="Wk 50 2026" dataDxfId="144"/>
    <tableColumn id="86" name="Wk 51 2026" dataDxfId="143"/>
    <tableColumn id="87" name="Wk 52 2026" dataDxfId="14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ForecastUPO27" displayName="TblForecastUPO27" ref="B36:CJ42" headerRowCount="1" totalsRowShown="0" headerRowDxfId="141" headerRowBorderDxfId="140" tableBorderDxfId="139">
  <autoFilter ref="B36:CJ42"/>
  <tableColumns count="87">
    <tableColumn id="1" name="MP"/>
    <tableColumn id="2" name="Wk19 2025" dataDxfId="138"/>
    <tableColumn id="3" name="Wk20 2025" dataDxfId="137"/>
    <tableColumn id="4" name="Wk21 2025" dataDxfId="136"/>
    <tableColumn id="5" name="Wk22 2025"/>
    <tableColumn id="6" name="Wk23 2025"/>
    <tableColumn id="7" name="Wk24 2025"/>
    <tableColumn id="8" name="Wk25 2025"/>
    <tableColumn id="9" name="Wk26 2025"/>
    <tableColumn id="10" name="Wk27 2025"/>
    <tableColumn id="11" name="Wk28 2025" dataDxfId="135"/>
    <tableColumn id="12" name="Wk29 2025" dataDxfId="134"/>
    <tableColumn id="13" name="Wk30 2025"/>
    <tableColumn id="14" name="Wk31 2025"/>
    <tableColumn id="15" name="Wk32 2025"/>
    <tableColumn id="16" name="Wk33 2025"/>
    <tableColumn id="17" name="Wk34 2025"/>
    <tableColumn id="18" name="Wk35 2025"/>
    <tableColumn id="19" name="Wk36 2025"/>
    <tableColumn id="20" name="Wk37 2025"/>
    <tableColumn id="21" name="Wk38 2025"/>
    <tableColumn id="22" name="Wk39 2025"/>
    <tableColumn id="23" name="Wk40 2025"/>
    <tableColumn id="24" name="Wk41 2025"/>
    <tableColumn id="25" name="Wk42 2025" dataDxfId="133"/>
    <tableColumn id="26" name="Wk43 2025" dataDxfId="132"/>
    <tableColumn id="27" name="Wk44 2025" dataDxfId="131"/>
    <tableColumn id="28" name="Wk45 2025" dataDxfId="130"/>
    <tableColumn id="29" name="Wk46 2025" dataDxfId="129"/>
    <tableColumn id="30" name="Wk47 2025" dataDxfId="128"/>
    <tableColumn id="31" name="Wk48 2025" dataDxfId="127"/>
    <tableColumn id="32" name="Wk49 2025" dataDxfId="126"/>
    <tableColumn id="33" name="Wk50 2025" dataDxfId="125"/>
    <tableColumn id="34" name="Wk51 2025" dataDxfId="124"/>
    <tableColumn id="35" name="Wk52 2025" dataDxfId="123"/>
    <tableColumn id="36" name="Wk 1 2026" dataDxfId="122"/>
    <tableColumn id="37" name="Wk 2 2026" dataDxfId="121"/>
    <tableColumn id="38" name="Wk 3 2026" dataDxfId="120"/>
    <tableColumn id="39" name="Wk 4 2026" dataDxfId="119"/>
    <tableColumn id="40" name="Wk 5 2026" dataDxfId="118"/>
    <tableColumn id="41" name="Wk 6 2026" dataDxfId="117"/>
    <tableColumn id="42" name="Wk 7 2026" dataDxfId="116"/>
    <tableColumn id="43" name="Wk 8 2026" dataDxfId="115"/>
    <tableColumn id="44" name="Wk 9 2026" dataDxfId="114"/>
    <tableColumn id="45" name="Wk 10 2026" dataDxfId="113"/>
    <tableColumn id="46" name="Wk 11 2026" dataDxfId="112"/>
    <tableColumn id="47" name="Wk 12 2026" dataDxfId="111"/>
    <tableColumn id="48" name="Wk 13 2026" dataDxfId="110"/>
    <tableColumn id="49" name="Wk 14 2026" dataDxfId="109"/>
    <tableColumn id="50" name="Wk 15 2026" dataDxfId="108"/>
    <tableColumn id="51" name="Wk 16 2026" dataDxfId="107"/>
    <tableColumn id="52" name="Wk 17 2026" dataDxfId="106"/>
    <tableColumn id="53" name="Wk 18 2026" dataDxfId="105"/>
    <tableColumn id="54" name="Wk 19 2026" dataDxfId="104"/>
    <tableColumn id="55" name="Wk 20 2026" dataDxfId="103"/>
    <tableColumn id="56" name="Wk 21 2026" dataDxfId="102"/>
    <tableColumn id="57" name="Wk 22 2026" dataDxfId="101"/>
    <tableColumn id="58" name="Wk 23 2026" dataDxfId="100"/>
    <tableColumn id="59" name="Wk 24 2026" dataDxfId="99"/>
    <tableColumn id="60" name="Wk 25 2026" dataDxfId="98"/>
    <tableColumn id="61" name="Wk 26 2026" dataDxfId="97"/>
    <tableColumn id="62" name="Wk 27 2026" dataDxfId="96"/>
    <tableColumn id="63" name="Wk 28 2026" dataDxfId="95"/>
    <tableColumn id="64" name="Wk 29 2026" dataDxfId="94"/>
    <tableColumn id="65" name="Wk 30 2026" dataDxfId="93"/>
    <tableColumn id="66" name="Wk 31 2026" dataDxfId="92"/>
    <tableColumn id="67" name="Wk 32 2026" dataDxfId="91"/>
    <tableColumn id="68" name="Wk 33 2026" dataDxfId="90"/>
    <tableColumn id="69" name="Wk 34 2026" dataDxfId="89"/>
    <tableColumn id="70" name="Wk 35 2026" dataDxfId="88"/>
    <tableColumn id="71" name="Wk 36 2026" dataDxfId="87"/>
    <tableColumn id="72" name="Wk 37 2026" dataDxfId="86"/>
    <tableColumn id="73" name="Wk 38 2026" dataDxfId="85"/>
    <tableColumn id="74" name="Wk 39 2026" dataDxfId="84"/>
    <tableColumn id="75" name="Wk 40 2026" dataDxfId="83"/>
    <tableColumn id="76" name="Wk 41 2026" dataDxfId="82"/>
    <tableColumn id="77" name="Wk 42 2026" dataDxfId="81"/>
    <tableColumn id="78" name="Wk 43 2026" dataDxfId="80"/>
    <tableColumn id="79" name="Wk 44 2026" dataDxfId="79"/>
    <tableColumn id="80" name="Wk 45 2026" dataDxfId="78"/>
    <tableColumn id="81" name="Wk 46 2026" dataDxfId="77"/>
    <tableColumn id="82" name="Wk 47 2026" dataDxfId="76"/>
    <tableColumn id="83" name="Wk 48 2026" dataDxfId="75"/>
    <tableColumn id="84" name="Wk 49 2026" dataDxfId="74"/>
    <tableColumn id="85" name="Wk 50 2026" dataDxfId="73"/>
    <tableColumn id="86" name="Wk 51 2026" dataDxfId="72"/>
    <tableColumn id="87" name="Wk 52 2026" dataDxfId="7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Relationship Type="http://schemas.openxmlformats.org/officeDocument/2006/relationships/table" Target="/xl/tables/table7.xml" Id="rId3"/><Relationship Type="http://schemas.openxmlformats.org/officeDocument/2006/relationships/table" Target="/xl/tables/table8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J37"/>
  <sheetViews>
    <sheetView tabSelected="1" topLeftCell="U1" workbookViewId="0">
      <selection activeCell="AO31" sqref="AO31:AO37"/>
    </sheetView>
  </sheetViews>
  <sheetFormatPr baseColWidth="8" defaultRowHeight="15"/>
  <cols>
    <col width="4.42578125" bestFit="1" customWidth="1" min="2" max="2"/>
    <col width="8.28515625" bestFit="1" customWidth="1" min="3" max="3"/>
    <col width="9.5703125" bestFit="1" customWidth="1" min="4" max="4"/>
    <col width="8.28515625" bestFit="1" customWidth="1" min="5" max="5"/>
    <col width="9.5703125" bestFit="1" customWidth="1" min="6" max="19"/>
    <col width="11.42578125" bestFit="1" customWidth="1" min="20" max="29"/>
    <col width="12.7109375" bestFit="1" customWidth="1" min="30" max="30"/>
    <col width="11.42578125" bestFit="1" customWidth="1" min="31" max="37"/>
    <col width="11.5703125" bestFit="1" customWidth="1" min="38" max="39"/>
    <col width="11.42578125" bestFit="1" customWidth="1" min="40" max="40"/>
    <col width="12" bestFit="1" customWidth="1" min="41" max="41"/>
  </cols>
  <sheetData>
    <row r="1">
      <c r="B1" t="inlineStr">
        <is>
          <t>Net Ordered Units</t>
        </is>
      </c>
    </row>
    <row r="2">
      <c r="B2" t="inlineStr">
        <is>
          <t>MP</t>
        </is>
      </c>
      <c r="C2" t="inlineStr">
        <is>
          <t>Wk19 2025</t>
        </is>
      </c>
      <c r="D2" t="inlineStr">
        <is>
          <t>Wk20 2025</t>
        </is>
      </c>
      <c r="E2" t="inlineStr">
        <is>
          <t>Wk21 2025</t>
        </is>
      </c>
      <c r="F2" t="inlineStr">
        <is>
          <t>Wk22 2025</t>
        </is>
      </c>
      <c r="G2" t="inlineStr">
        <is>
          <t>Wk23 2025</t>
        </is>
      </c>
      <c r="H2" t="inlineStr">
        <is>
          <t>Wk24 2025</t>
        </is>
      </c>
      <c r="I2" t="inlineStr">
        <is>
          <t>Wk25 2025</t>
        </is>
      </c>
      <c r="J2" t="inlineStr">
        <is>
          <t>Wk26 2025</t>
        </is>
      </c>
      <c r="K2" t="inlineStr">
        <is>
          <t>Wk27 2025</t>
        </is>
      </c>
      <c r="L2" t="inlineStr">
        <is>
          <t>Wk28 2025</t>
        </is>
      </c>
      <c r="M2" t="inlineStr">
        <is>
          <t>Wk29 2025</t>
        </is>
      </c>
      <c r="N2" t="inlineStr">
        <is>
          <t>Wk30 2025</t>
        </is>
      </c>
      <c r="O2" t="inlineStr">
        <is>
          <t>Wk31 2025</t>
        </is>
      </c>
      <c r="P2" t="inlineStr">
        <is>
          <t>Wk32 2025</t>
        </is>
      </c>
      <c r="Q2" t="inlineStr">
        <is>
          <t>Wk33 2025</t>
        </is>
      </c>
      <c r="R2" t="inlineStr">
        <is>
          <t>Wk34 2025</t>
        </is>
      </c>
      <c r="S2" t="inlineStr">
        <is>
          <t>Wk35 2025</t>
        </is>
      </c>
      <c r="T2" t="inlineStr">
        <is>
          <t>Wk36 2025</t>
        </is>
      </c>
      <c r="U2" t="inlineStr">
        <is>
          <t>Wk37 2025</t>
        </is>
      </c>
      <c r="V2" t="inlineStr">
        <is>
          <t>Wk38 2025</t>
        </is>
      </c>
      <c r="W2" t="inlineStr">
        <is>
          <t>Wk39 2025</t>
        </is>
      </c>
      <c r="X2" t="inlineStr">
        <is>
          <t>Wk40 2025</t>
        </is>
      </c>
      <c r="Y2" t="inlineStr">
        <is>
          <t>Wk41 2025</t>
        </is>
      </c>
      <c r="Z2" t="inlineStr">
        <is>
          <t>Wk42 2025</t>
        </is>
      </c>
      <c r="AA2" t="inlineStr">
        <is>
          <t>Wk43 2025</t>
        </is>
      </c>
      <c r="AB2" t="inlineStr">
        <is>
          <t>Wk44 2025</t>
        </is>
      </c>
      <c r="AC2" t="inlineStr">
        <is>
          <t>Wk45 2025</t>
        </is>
      </c>
      <c r="AD2" t="inlineStr">
        <is>
          <t>Wk46 2025</t>
        </is>
      </c>
      <c r="AE2" t="inlineStr">
        <is>
          <t>Wk47 2025</t>
        </is>
      </c>
      <c r="AF2" t="inlineStr">
        <is>
          <t>Wk48 2025</t>
        </is>
      </c>
      <c r="AG2" t="inlineStr">
        <is>
          <t>Wk49 2025</t>
        </is>
      </c>
      <c r="AH2" t="inlineStr">
        <is>
          <t>Wk50 2025</t>
        </is>
      </c>
      <c r="AI2" t="inlineStr">
        <is>
          <t>Wk51 2025</t>
        </is>
      </c>
      <c r="AJ2" t="inlineStr">
        <is>
          <t>Wk52 2025</t>
        </is>
      </c>
      <c r="AK2" t="inlineStr">
        <is>
          <t>Wk 1 2026</t>
        </is>
      </c>
      <c r="AL2" t="inlineStr">
        <is>
          <t>Wk 2 2026</t>
        </is>
      </c>
      <c r="AM2" t="inlineStr">
        <is>
          <t>Wk 3 2026</t>
        </is>
      </c>
      <c r="AN2" t="inlineStr">
        <is>
          <t>Wk 4 2026</t>
        </is>
      </c>
      <c r="AO2" t="inlineStr">
        <is>
          <t>Wk 5 2026</t>
        </is>
      </c>
      <c r="AP2" t="inlineStr">
        <is>
          <t>Wk 6 2026</t>
        </is>
      </c>
      <c r="AQ2" t="inlineStr">
        <is>
          <t>Wk 7 2026</t>
        </is>
      </c>
      <c r="AR2" t="inlineStr">
        <is>
          <t>Wk 8 2026</t>
        </is>
      </c>
      <c r="AS2" t="inlineStr">
        <is>
          <t>Wk 9 2026</t>
        </is>
      </c>
      <c r="AT2" t="inlineStr">
        <is>
          <t>Wk 10 2026</t>
        </is>
      </c>
      <c r="AU2" t="inlineStr">
        <is>
          <t>Wk 11 2026</t>
        </is>
      </c>
      <c r="AV2" t="inlineStr">
        <is>
          <t>Wk 12 2026</t>
        </is>
      </c>
      <c r="AW2" t="inlineStr">
        <is>
          <t>Wk 13 2026</t>
        </is>
      </c>
      <c r="AX2" t="inlineStr">
        <is>
          <t>Wk 14 2026</t>
        </is>
      </c>
      <c r="AY2" t="inlineStr">
        <is>
          <t>Wk 15 2026</t>
        </is>
      </c>
      <c r="AZ2" t="inlineStr">
        <is>
          <t>Wk 16 2026</t>
        </is>
      </c>
      <c r="BA2" t="inlineStr">
        <is>
          <t>Wk 17 2026</t>
        </is>
      </c>
      <c r="BB2" t="inlineStr">
        <is>
          <t>Wk 18 2026</t>
        </is>
      </c>
      <c r="BC2" t="inlineStr">
        <is>
          <t>Wk 19 2026</t>
        </is>
      </c>
      <c r="BD2" t="inlineStr">
        <is>
          <t>Wk 20 2026</t>
        </is>
      </c>
      <c r="BE2" t="inlineStr">
        <is>
          <t>Wk 21 2026</t>
        </is>
      </c>
      <c r="BF2" t="inlineStr">
        <is>
          <t>Wk 22 2026</t>
        </is>
      </c>
      <c r="BG2" t="inlineStr">
        <is>
          <t>Wk 23 2026</t>
        </is>
      </c>
      <c r="BH2" t="inlineStr">
        <is>
          <t>Wk 24 2026</t>
        </is>
      </c>
      <c r="BI2" t="inlineStr">
        <is>
          <t>Wk 25 2026</t>
        </is>
      </c>
      <c r="BJ2" t="inlineStr">
        <is>
          <t>Wk 26 2026</t>
        </is>
      </c>
      <c r="BK2" t="inlineStr">
        <is>
          <t>Wk 27 2026</t>
        </is>
      </c>
      <c r="BL2" t="inlineStr">
        <is>
          <t>Wk 28 2026</t>
        </is>
      </c>
      <c r="BM2" t="inlineStr">
        <is>
          <t>Wk 29 2026</t>
        </is>
      </c>
      <c r="BN2" t="inlineStr">
        <is>
          <t>Wk 30 2026</t>
        </is>
      </c>
      <c r="BO2" t="inlineStr">
        <is>
          <t>Wk 31 2026</t>
        </is>
      </c>
      <c r="BP2" t="inlineStr">
        <is>
          <t>Wk 32 2026</t>
        </is>
      </c>
      <c r="BQ2" t="inlineStr">
        <is>
          <t>Wk 33 2026</t>
        </is>
      </c>
      <c r="BR2" t="inlineStr">
        <is>
          <t>Wk 34 2026</t>
        </is>
      </c>
      <c r="BS2" t="inlineStr">
        <is>
          <t>Wk 35 2026</t>
        </is>
      </c>
      <c r="BT2" t="inlineStr">
        <is>
          <t>Wk 36 2026</t>
        </is>
      </c>
      <c r="BU2" t="inlineStr">
        <is>
          <t>Wk 37 2026</t>
        </is>
      </c>
      <c r="BV2" t="inlineStr">
        <is>
          <t>Wk 38 2026</t>
        </is>
      </c>
      <c r="BW2" t="inlineStr">
        <is>
          <t>Wk 39 2026</t>
        </is>
      </c>
      <c r="BX2" t="inlineStr">
        <is>
          <t>Wk 40 2026</t>
        </is>
      </c>
      <c r="BY2" t="inlineStr">
        <is>
          <t>Wk 41 2026</t>
        </is>
      </c>
      <c r="BZ2" t="inlineStr">
        <is>
          <t>Wk 42 2026</t>
        </is>
      </c>
      <c r="CA2" t="inlineStr">
        <is>
          <t>Wk 43 2026</t>
        </is>
      </c>
      <c r="CB2" t="inlineStr">
        <is>
          <t>Wk 44 2026</t>
        </is>
      </c>
      <c r="CC2" t="inlineStr">
        <is>
          <t>Wk 45 2026</t>
        </is>
      </c>
      <c r="CD2" t="inlineStr">
        <is>
          <t>Wk 46 2026</t>
        </is>
      </c>
      <c r="CE2" t="inlineStr">
        <is>
          <t>Wk 47 2026</t>
        </is>
      </c>
      <c r="CF2" t="inlineStr">
        <is>
          <t>Wk 48 2026</t>
        </is>
      </c>
      <c r="CG2" t="inlineStr">
        <is>
          <t>Wk 49 2026</t>
        </is>
      </c>
      <c r="CH2" t="inlineStr">
        <is>
          <t>Wk 50 2026</t>
        </is>
      </c>
      <c r="CI2" t="inlineStr">
        <is>
          <t>Wk 51 2026</t>
        </is>
      </c>
      <c r="CJ2" t="inlineStr">
        <is>
          <t>Wk 52 2026</t>
        </is>
      </c>
    </row>
    <row r="3" ht="15.75" customHeight="1">
      <c r="B3" t="inlineStr">
        <is>
          <t>UK</t>
        </is>
      </c>
      <c r="C3" s="1" t="n">
        <v>2989</v>
      </c>
      <c r="D3" s="1" t="n">
        <v>6273</v>
      </c>
      <c r="E3" s="1" t="n">
        <v>3377</v>
      </c>
      <c r="F3" s="1" t="n">
        <v>44682</v>
      </c>
      <c r="G3" s="1" t="n">
        <v>45921</v>
      </c>
      <c r="H3" s="1" t="n">
        <v>10746</v>
      </c>
      <c r="I3" s="1" t="n">
        <v>48648</v>
      </c>
      <c r="J3" s="2" t="n">
        <v>26442</v>
      </c>
      <c r="K3" s="2" t="n">
        <v>19428</v>
      </c>
      <c r="L3" s="1" t="n">
        <v>19040</v>
      </c>
      <c r="M3" s="1" t="n">
        <v>15167</v>
      </c>
      <c r="N3" s="1" t="n">
        <v>38741</v>
      </c>
      <c r="O3" s="1" t="n">
        <v>32230</v>
      </c>
      <c r="P3" s="1" t="n">
        <v>156335</v>
      </c>
      <c r="Q3" s="1" t="n">
        <v>202517</v>
      </c>
      <c r="R3" s="1" t="n">
        <v>111013</v>
      </c>
      <c r="S3" s="2" t="n">
        <v>84842</v>
      </c>
      <c r="T3" s="2" t="n">
        <v>116404</v>
      </c>
      <c r="U3" s="1" t="n">
        <v>270312</v>
      </c>
      <c r="V3" s="1" t="n">
        <v>86949</v>
      </c>
      <c r="W3" s="1" t="n">
        <v>175627</v>
      </c>
      <c r="X3" s="1" t="n">
        <v>181078</v>
      </c>
      <c r="Y3" s="1" t="n">
        <v>456433</v>
      </c>
      <c r="Z3" s="1" t="n">
        <v>68676</v>
      </c>
      <c r="AA3" s="1" t="n">
        <v>225505</v>
      </c>
      <c r="AB3" s="1" t="n">
        <v>278021</v>
      </c>
      <c r="AC3" s="1" t="n">
        <v>76976</v>
      </c>
      <c r="AD3" s="1" t="n">
        <v>947678</v>
      </c>
      <c r="AE3" s="2" t="n">
        <v>561387</v>
      </c>
      <c r="AF3" s="2" t="n">
        <v>714319</v>
      </c>
      <c r="AG3" s="1" t="n">
        <v>599845</v>
      </c>
      <c r="AH3" s="1" t="n">
        <v>464044</v>
      </c>
      <c r="AI3" s="1" t="n">
        <v>266668</v>
      </c>
      <c r="AJ3" s="1" t="n">
        <v>229971</v>
      </c>
      <c r="AK3" s="1" t="n">
        <v>288997</v>
      </c>
      <c r="AL3" s="1" t="n">
        <v>349629</v>
      </c>
      <c r="AM3" s="1" t="n">
        <v>323142</v>
      </c>
      <c r="AN3" s="2" t="n">
        <v>232295</v>
      </c>
      <c r="AO3" s="2" t="n">
        <v>250690</v>
      </c>
      <c r="AP3" s="1" t="n"/>
      <c r="AQ3" s="1" t="n"/>
      <c r="AR3" s="1" t="n"/>
      <c r="AS3" s="1" t="n"/>
      <c r="AT3" s="1" t="n"/>
      <c r="AU3" s="1" t="n"/>
      <c r="AV3" s="1" t="n"/>
      <c r="AW3" s="2" t="n"/>
      <c r="AX3" s="2" t="n"/>
      <c r="AY3" s="1" t="n"/>
      <c r="AZ3" s="1" t="n"/>
      <c r="BA3" s="1" t="n"/>
      <c r="BB3" s="1" t="n"/>
      <c r="BC3" s="1" t="n"/>
      <c r="BD3" s="1" t="n"/>
      <c r="BE3" s="1" t="n"/>
      <c r="BF3" s="2" t="n"/>
      <c r="BG3" s="2" t="n"/>
      <c r="BH3" s="1" t="n"/>
      <c r="BI3" s="1" t="n"/>
      <c r="BJ3" s="1" t="n"/>
      <c r="BK3" s="1" t="n"/>
      <c r="BL3" s="1" t="n"/>
      <c r="BM3" s="1" t="n"/>
      <c r="BN3" s="1" t="n"/>
      <c r="BO3" s="2" t="n"/>
      <c r="BP3" s="2" t="n"/>
      <c r="BQ3" s="1" t="n"/>
      <c r="BR3" s="1" t="n"/>
      <c r="BS3" s="1" t="n"/>
      <c r="BT3" s="1" t="n"/>
      <c r="BU3" s="1" t="n"/>
      <c r="BV3" s="1" t="n"/>
      <c r="BW3" s="1" t="n"/>
      <c r="BX3" s="2" t="n"/>
      <c r="BY3" s="2" t="n"/>
      <c r="BZ3" s="1" t="n"/>
      <c r="CA3" s="1" t="n"/>
      <c r="CB3" s="1" t="n"/>
      <c r="CC3" s="1" t="n"/>
      <c r="CD3" s="1" t="n"/>
      <c r="CE3" s="1" t="n"/>
      <c r="CF3" s="1" t="n"/>
      <c r="CG3" s="2" t="n"/>
      <c r="CH3" s="2" t="n"/>
      <c r="CI3" s="1" t="n"/>
      <c r="CJ3" s="1" t="n"/>
    </row>
    <row r="4" ht="15.75" customHeight="1">
      <c r="B4" t="inlineStr">
        <is>
          <t>DE</t>
        </is>
      </c>
      <c r="C4" s="1" t="n"/>
      <c r="D4" s="1" t="n"/>
      <c r="E4" s="1" t="n"/>
      <c r="F4" s="1" t="n"/>
      <c r="G4" s="1" t="n">
        <v>5995</v>
      </c>
      <c r="H4" s="1" t="n">
        <v>8922</v>
      </c>
      <c r="I4" s="1" t="n">
        <v>59692</v>
      </c>
      <c r="J4" s="1" t="n">
        <v>32334</v>
      </c>
      <c r="K4" s="1" t="n">
        <v>21862</v>
      </c>
      <c r="L4" s="1" t="n">
        <v>17416</v>
      </c>
      <c r="M4" s="1" t="n">
        <v>14117</v>
      </c>
      <c r="N4" s="1" t="n">
        <v>24953</v>
      </c>
      <c r="O4" s="1" t="n">
        <v>16698</v>
      </c>
      <c r="P4" s="1" t="n">
        <v>112156</v>
      </c>
      <c r="Q4" s="1" t="n">
        <v>150655</v>
      </c>
      <c r="R4" s="1" t="n">
        <v>64084</v>
      </c>
      <c r="S4" s="1" t="n">
        <v>49367</v>
      </c>
      <c r="T4" s="1" t="n">
        <v>276938</v>
      </c>
      <c r="U4" s="1" t="n">
        <v>178521</v>
      </c>
      <c r="V4" s="1" t="n">
        <v>60474</v>
      </c>
      <c r="W4" s="1" t="n">
        <v>85842</v>
      </c>
      <c r="X4" s="1" t="n">
        <v>88918</v>
      </c>
      <c r="Y4" s="1" t="n">
        <v>430782</v>
      </c>
      <c r="Z4" s="1" t="n">
        <v>33866</v>
      </c>
      <c r="AA4" s="1" t="n">
        <v>142234</v>
      </c>
      <c r="AB4" s="1" t="n">
        <v>195972</v>
      </c>
      <c r="AC4" s="1" t="n">
        <v>44169</v>
      </c>
      <c r="AD4" s="1" t="n">
        <v>149249</v>
      </c>
      <c r="AE4" s="1" t="n">
        <v>99718</v>
      </c>
      <c r="AF4" s="1" t="n">
        <v>124262</v>
      </c>
      <c r="AG4" s="1" t="n">
        <v>96362</v>
      </c>
      <c r="AH4" s="1" t="n">
        <v>88602</v>
      </c>
      <c r="AI4" s="1" t="n">
        <v>60031</v>
      </c>
      <c r="AJ4" s="1" t="n">
        <v>49565</v>
      </c>
      <c r="AK4" s="1" t="n">
        <v>64727</v>
      </c>
      <c r="AL4" s="1" t="n">
        <v>85630</v>
      </c>
      <c r="AM4" s="1" t="n">
        <v>77429</v>
      </c>
      <c r="AN4" s="1" t="n">
        <v>51933</v>
      </c>
      <c r="AO4" s="1" t="n">
        <v>61256</v>
      </c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</row>
    <row r="5" ht="15.75" customHeight="1">
      <c r="B5" t="inlineStr">
        <is>
          <t>FR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>
        <v>14264</v>
      </c>
      <c r="Y5" s="1" t="n">
        <v>50590</v>
      </c>
      <c r="Z5" s="1" t="n">
        <v>5238</v>
      </c>
      <c r="AA5" s="1" t="n">
        <v>18909</v>
      </c>
      <c r="AB5" s="1" t="n">
        <v>15932</v>
      </c>
      <c r="AC5" s="1" t="n">
        <v>6350</v>
      </c>
      <c r="AD5" s="1" t="n">
        <v>105686</v>
      </c>
      <c r="AE5" s="1" t="n">
        <v>36062</v>
      </c>
      <c r="AF5" s="1" t="n">
        <v>46663</v>
      </c>
      <c r="AG5" s="1" t="n">
        <v>33210</v>
      </c>
      <c r="AH5" s="1" t="n">
        <v>26541</v>
      </c>
      <c r="AI5" s="1" t="n">
        <v>13407</v>
      </c>
      <c r="AJ5" s="1" t="n">
        <v>12710</v>
      </c>
      <c r="AK5" s="1" t="n">
        <v>13343</v>
      </c>
      <c r="AL5" s="1" t="n">
        <v>21818</v>
      </c>
      <c r="AM5" s="1" t="n">
        <v>18797</v>
      </c>
      <c r="AN5" s="1" t="n">
        <v>12059</v>
      </c>
      <c r="AO5" s="1" t="n">
        <v>12187</v>
      </c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</row>
    <row r="6" ht="15.75" customHeight="1">
      <c r="B6" t="inlineStr">
        <is>
          <t>IT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>
        <v>23328</v>
      </c>
      <c r="Y6" s="1" t="n">
        <v>75047</v>
      </c>
      <c r="Z6" s="1" t="n">
        <v>11983</v>
      </c>
      <c r="AA6" s="1" t="n">
        <v>48983</v>
      </c>
      <c r="AB6" s="1" t="n">
        <v>58189</v>
      </c>
      <c r="AC6" s="1" t="n">
        <v>24369</v>
      </c>
      <c r="AD6" s="1" t="n">
        <v>477571</v>
      </c>
      <c r="AE6" s="1" t="n">
        <v>232141</v>
      </c>
      <c r="AF6" s="1" t="n">
        <v>268346</v>
      </c>
      <c r="AG6" s="1" t="n">
        <v>227811</v>
      </c>
      <c r="AH6" s="1" t="n">
        <v>200118</v>
      </c>
      <c r="AI6" s="1" t="n">
        <v>134942</v>
      </c>
      <c r="AJ6" s="1" t="n">
        <v>102187</v>
      </c>
      <c r="AK6" s="1" t="n">
        <v>116045</v>
      </c>
      <c r="AL6" s="1" t="n">
        <v>159911</v>
      </c>
      <c r="AM6" s="1" t="n">
        <v>157746</v>
      </c>
      <c r="AN6" s="1" t="n">
        <v>122343</v>
      </c>
      <c r="AO6" s="1" t="n">
        <v>110625</v>
      </c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</row>
    <row r="7" ht="15.75" customHeight="1">
      <c r="B7" t="inlineStr">
        <is>
          <t>ES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>
        <v>10236</v>
      </c>
      <c r="Y7" s="1" t="n">
        <v>20459</v>
      </c>
      <c r="Z7" s="1" t="n">
        <v>3437</v>
      </c>
      <c r="AA7" s="1" t="n">
        <v>13419</v>
      </c>
      <c r="AB7" s="1" t="n">
        <v>20979</v>
      </c>
      <c r="AC7" s="1" t="n">
        <v>10569</v>
      </c>
      <c r="AD7" s="1" t="n">
        <v>184704</v>
      </c>
      <c r="AE7" s="1" t="n">
        <v>70846</v>
      </c>
      <c r="AF7" s="1" t="n">
        <v>113337</v>
      </c>
      <c r="AG7" s="1" t="n">
        <v>114375</v>
      </c>
      <c r="AH7" s="1" t="n">
        <v>101476</v>
      </c>
      <c r="AI7" s="1" t="n">
        <v>134721</v>
      </c>
      <c r="AJ7" s="1" t="n">
        <v>101184</v>
      </c>
      <c r="AK7" s="1" t="n">
        <v>100603</v>
      </c>
      <c r="AL7" s="1" t="n">
        <v>258311</v>
      </c>
      <c r="AM7" s="1" t="n">
        <v>175888</v>
      </c>
      <c r="AN7" s="1" t="n">
        <v>92729</v>
      </c>
      <c r="AO7" s="1" t="n">
        <v>97704</v>
      </c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</row>
    <row r="8" ht="15.75" customHeight="1">
      <c r="B8" s="3" t="inlineStr">
        <is>
          <t>EU5</t>
        </is>
      </c>
      <c r="C8" s="1">
        <f>SUBTOTAL(109,C3:C7)</f>
        <v/>
      </c>
      <c r="D8" s="1">
        <f>SUBTOTAL(109,D3:D7)</f>
        <v/>
      </c>
      <c r="E8" s="1">
        <f>SUBTOTAL(109,E3:E7)</f>
        <v/>
      </c>
      <c r="F8" s="1">
        <f>SUBTOTAL(109,F3:F7)</f>
        <v/>
      </c>
      <c r="G8" s="1">
        <f>SUBTOTAL(109,G3:G7)</f>
        <v/>
      </c>
      <c r="H8" s="1">
        <f>SUBTOTAL(109,H3:H7)</f>
        <v/>
      </c>
      <c r="I8" s="1">
        <f>SUBTOTAL(109,I3:I7)</f>
        <v/>
      </c>
      <c r="J8" s="2">
        <f>SUBTOTAL(109,J3:J7)</f>
        <v/>
      </c>
      <c r="K8" s="2">
        <f>SUBTOTAL(109,K3:K7)</f>
        <v/>
      </c>
      <c r="L8" s="1">
        <f>SUBTOTAL(109,L3:L7)</f>
        <v/>
      </c>
      <c r="M8" s="1">
        <f>SUBTOTAL(109,M3:M7)</f>
        <v/>
      </c>
      <c r="N8" s="1">
        <f>SUBTOTAL(109,N3:N7)</f>
        <v/>
      </c>
      <c r="O8" s="1">
        <f>SUBTOTAL(109,O3:O7)</f>
        <v/>
      </c>
      <c r="P8" s="1">
        <f>SUBTOTAL(109,P3:P7)</f>
        <v/>
      </c>
      <c r="Q8" s="1">
        <f>SUBTOTAL(109,Q3:Q7)</f>
        <v/>
      </c>
      <c r="R8" s="1">
        <f>SUBTOTAL(109,R3:R7)</f>
        <v/>
      </c>
      <c r="S8" s="2">
        <f>SUBTOTAL(109,S3:S7)</f>
        <v/>
      </c>
      <c r="T8" s="2">
        <f>SUBTOTAL(109,T3:T7)</f>
        <v/>
      </c>
      <c r="U8" s="1">
        <f>SUBTOTAL(109,U3:U7)</f>
        <v/>
      </c>
      <c r="V8" s="1">
        <f>SUBTOTAL(109,V3:V7)</f>
        <v/>
      </c>
      <c r="W8" s="1">
        <f>SUBTOTAL(109,W3:W7)</f>
        <v/>
      </c>
      <c r="X8" s="1">
        <f>SUBTOTAL(109,X3:X7)</f>
        <v/>
      </c>
      <c r="Y8" s="1">
        <f>SUBTOTAL(109,Y3:Y7)</f>
        <v/>
      </c>
      <c r="Z8" s="1">
        <f>SUBTOTAL(109,Z3:Z7)</f>
        <v/>
      </c>
      <c r="AA8" s="1">
        <f>SUBTOTAL(109,AA3:AA7)</f>
        <v/>
      </c>
      <c r="AB8" s="1">
        <f>SUBTOTAL(109,AB3:AB7)</f>
        <v/>
      </c>
      <c r="AC8" s="1">
        <f>SUBTOTAL(109,AC3:AC7)</f>
        <v/>
      </c>
      <c r="AD8" s="1">
        <f>SUBTOTAL(109,AD3:AD7)</f>
        <v/>
      </c>
      <c r="AE8" s="2">
        <f>SUBTOTAL(109,AE3:AE7)</f>
        <v/>
      </c>
      <c r="AF8" s="2">
        <f>SUBTOTAL(109,AF3:AF7)</f>
        <v/>
      </c>
      <c r="AG8" s="2">
        <f>SUBTOTAL(109,AG3:AG7)</f>
        <v/>
      </c>
      <c r="AH8" s="2">
        <f>SUBTOTAL(109,AH3:AH7)</f>
        <v/>
      </c>
      <c r="AI8" s="2">
        <f>SUBTOTAL(109,AI3:AI7)</f>
        <v/>
      </c>
      <c r="AJ8" s="2">
        <f>SUBTOTAL(109,AJ3:AJ7)</f>
        <v/>
      </c>
      <c r="AK8" s="2">
        <f>SUBTOTAL(109,AK3:AK7)</f>
        <v/>
      </c>
      <c r="AL8" s="2" t="n">
        <v>875299</v>
      </c>
      <c r="AM8" s="2" t="n">
        <v>753002</v>
      </c>
      <c r="AN8" s="2" t="n">
        <v>511359</v>
      </c>
      <c r="AO8" s="2" t="n">
        <v>532462</v>
      </c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1" t="n"/>
      <c r="AZ8" s="1" t="n"/>
      <c r="BA8" s="1" t="n"/>
      <c r="BB8" s="1" t="n"/>
      <c r="BC8" s="1" t="n"/>
      <c r="BD8" s="1" t="n"/>
      <c r="BE8" s="1" t="n"/>
      <c r="BF8" s="2" t="n"/>
      <c r="BG8" s="2" t="n"/>
      <c r="BH8" s="1" t="n"/>
      <c r="BI8" s="1" t="n"/>
      <c r="BJ8" s="1" t="n"/>
      <c r="BK8" s="1" t="n"/>
      <c r="BL8" s="1" t="n"/>
      <c r="BM8" s="1" t="n"/>
      <c r="BN8" s="1" t="n"/>
      <c r="BO8" s="2" t="n"/>
      <c r="BP8" s="2" t="n"/>
      <c r="BQ8" s="1" t="n"/>
      <c r="BR8" s="1" t="n"/>
      <c r="BS8" s="1" t="n"/>
      <c r="BT8" s="1" t="n"/>
      <c r="BU8" s="1" t="n"/>
      <c r="BV8" s="1" t="n"/>
      <c r="BW8" s="1" t="n"/>
      <c r="BX8" s="2" t="n"/>
      <c r="BY8" s="2" t="n"/>
      <c r="BZ8" s="1" t="n"/>
      <c r="CA8" s="1" t="n"/>
      <c r="CB8" s="1" t="n"/>
      <c r="CC8" s="1" t="n"/>
      <c r="CD8" s="1" t="n"/>
      <c r="CE8" s="1" t="n"/>
      <c r="CF8" s="1" t="n"/>
      <c r="CG8" s="2" t="n"/>
      <c r="CH8" s="2" t="n"/>
      <c r="CI8" s="1" t="n"/>
      <c r="CJ8" s="1" t="n"/>
    </row>
    <row r="11">
      <c r="B11" t="inlineStr">
        <is>
          <t>Transits</t>
        </is>
      </c>
    </row>
    <row r="12">
      <c r="B12" t="inlineStr">
        <is>
          <t>MP</t>
        </is>
      </c>
      <c r="C12" t="inlineStr">
        <is>
          <t>Wk19 2025</t>
        </is>
      </c>
      <c r="D12" t="inlineStr">
        <is>
          <t>Wk20 2025</t>
        </is>
      </c>
      <c r="E12" t="inlineStr">
        <is>
          <t>Wk21 2025</t>
        </is>
      </c>
      <c r="F12" t="inlineStr">
        <is>
          <t>Wk22 2025</t>
        </is>
      </c>
      <c r="G12" t="inlineStr">
        <is>
          <t>Wk23 2025</t>
        </is>
      </c>
      <c r="H12" t="inlineStr">
        <is>
          <t>Wk24 2025</t>
        </is>
      </c>
      <c r="I12" t="inlineStr">
        <is>
          <t>Wk25 2025</t>
        </is>
      </c>
      <c r="J12" t="inlineStr">
        <is>
          <t>Wk26 2025</t>
        </is>
      </c>
      <c r="K12" t="inlineStr">
        <is>
          <t>Wk27 2025</t>
        </is>
      </c>
      <c r="L12" t="inlineStr">
        <is>
          <t>Wk28 2025</t>
        </is>
      </c>
      <c r="M12" t="inlineStr">
        <is>
          <t>Wk29 2025</t>
        </is>
      </c>
      <c r="N12" t="inlineStr">
        <is>
          <t>Wk30 2025</t>
        </is>
      </c>
      <c r="O12" t="inlineStr">
        <is>
          <t>Wk31 2025</t>
        </is>
      </c>
      <c r="P12" t="inlineStr">
        <is>
          <t>Wk32 2025</t>
        </is>
      </c>
      <c r="Q12" t="inlineStr">
        <is>
          <t>Wk33 2025</t>
        </is>
      </c>
      <c r="R12" t="inlineStr">
        <is>
          <t>Wk34 2025</t>
        </is>
      </c>
      <c r="S12" t="inlineStr">
        <is>
          <t>Wk35 2025</t>
        </is>
      </c>
      <c r="T12" t="inlineStr">
        <is>
          <t>Wk36 2025</t>
        </is>
      </c>
      <c r="U12" t="inlineStr">
        <is>
          <t>Wk37 2025</t>
        </is>
      </c>
      <c r="V12" t="inlineStr">
        <is>
          <t>Wk38 2025</t>
        </is>
      </c>
      <c r="W12" t="inlineStr">
        <is>
          <t>Wk39 2025</t>
        </is>
      </c>
      <c r="X12" t="inlineStr">
        <is>
          <t>Wk40 2025</t>
        </is>
      </c>
      <c r="Y12" t="inlineStr">
        <is>
          <t>Wk41 2025</t>
        </is>
      </c>
      <c r="Z12" t="inlineStr">
        <is>
          <t>Wk42 2025</t>
        </is>
      </c>
      <c r="AA12" t="inlineStr">
        <is>
          <t>Wk43 2025</t>
        </is>
      </c>
      <c r="AB12" t="inlineStr">
        <is>
          <t>Wk44 2025</t>
        </is>
      </c>
      <c r="AC12" t="inlineStr">
        <is>
          <t>Wk45 2025</t>
        </is>
      </c>
      <c r="AD12" t="inlineStr">
        <is>
          <t>Wk46 2025</t>
        </is>
      </c>
      <c r="AE12" t="inlineStr">
        <is>
          <t>Wk47 2025</t>
        </is>
      </c>
      <c r="AF12" t="inlineStr">
        <is>
          <t>Wk48 2025</t>
        </is>
      </c>
      <c r="AG12" t="inlineStr">
        <is>
          <t>Wk49 2025</t>
        </is>
      </c>
      <c r="AH12" t="inlineStr">
        <is>
          <t>Wk50 2025</t>
        </is>
      </c>
      <c r="AI12" t="inlineStr">
        <is>
          <t>Wk51 2025</t>
        </is>
      </c>
      <c r="AJ12" t="inlineStr">
        <is>
          <t>Wk52 2025</t>
        </is>
      </c>
      <c r="AK12" t="inlineStr">
        <is>
          <t>Wk 1 2026</t>
        </is>
      </c>
      <c r="AL12" t="inlineStr">
        <is>
          <t>Wk 2 2026</t>
        </is>
      </c>
      <c r="AM12" t="inlineStr">
        <is>
          <t>Wk 3 2026</t>
        </is>
      </c>
      <c r="AN12" t="inlineStr">
        <is>
          <t>Wk 4 2026</t>
        </is>
      </c>
      <c r="AO12" t="inlineStr">
        <is>
          <t>Wk 5 2026</t>
        </is>
      </c>
      <c r="AP12" t="inlineStr">
        <is>
          <t>Wk 6 2026</t>
        </is>
      </c>
      <c r="AQ12" t="inlineStr">
        <is>
          <t>Wk 7 2026</t>
        </is>
      </c>
      <c r="AR12" t="inlineStr">
        <is>
          <t>Wk 8 2026</t>
        </is>
      </c>
      <c r="AS12" t="inlineStr">
        <is>
          <t>Wk 9 2026</t>
        </is>
      </c>
      <c r="AT12" t="inlineStr">
        <is>
          <t>Wk 10 2026</t>
        </is>
      </c>
      <c r="AU12" t="inlineStr">
        <is>
          <t>Wk 11 2026</t>
        </is>
      </c>
      <c r="AV12" t="inlineStr">
        <is>
          <t>Wk 12 2026</t>
        </is>
      </c>
      <c r="AW12" t="inlineStr">
        <is>
          <t>Wk 13 2026</t>
        </is>
      </c>
      <c r="AX12" t="inlineStr">
        <is>
          <t>Wk 14 2026</t>
        </is>
      </c>
      <c r="AY12" t="inlineStr">
        <is>
          <t>Wk 15 2026</t>
        </is>
      </c>
      <c r="AZ12" t="inlineStr">
        <is>
          <t>Wk 16 2026</t>
        </is>
      </c>
      <c r="BA12" t="inlineStr">
        <is>
          <t>Wk 17 2026</t>
        </is>
      </c>
      <c r="BB12" t="inlineStr">
        <is>
          <t>Wk 18 2026</t>
        </is>
      </c>
      <c r="BC12" t="inlineStr">
        <is>
          <t>Wk 19 2026</t>
        </is>
      </c>
      <c r="BD12" t="inlineStr">
        <is>
          <t>Wk 20 2026</t>
        </is>
      </c>
      <c r="BE12" t="inlineStr">
        <is>
          <t>Wk 21 2026</t>
        </is>
      </c>
      <c r="BF12" t="inlineStr">
        <is>
          <t>Wk 22 2026</t>
        </is>
      </c>
      <c r="BG12" t="inlineStr">
        <is>
          <t>Wk 23 2026</t>
        </is>
      </c>
      <c r="BH12" t="inlineStr">
        <is>
          <t>Wk 24 2026</t>
        </is>
      </c>
      <c r="BI12" t="inlineStr">
        <is>
          <t>Wk 25 2026</t>
        </is>
      </c>
      <c r="BJ12" t="inlineStr">
        <is>
          <t>Wk 26 2026</t>
        </is>
      </c>
      <c r="BK12" t="inlineStr">
        <is>
          <t>Wk 27 2026</t>
        </is>
      </c>
      <c r="BL12" t="inlineStr">
        <is>
          <t>Wk 28 2026</t>
        </is>
      </c>
      <c r="BM12" t="inlineStr">
        <is>
          <t>Wk 29 2026</t>
        </is>
      </c>
      <c r="BN12" t="inlineStr">
        <is>
          <t>Wk 30 2026</t>
        </is>
      </c>
      <c r="BO12" t="inlineStr">
        <is>
          <t>Wk 31 2026</t>
        </is>
      </c>
      <c r="BP12" t="inlineStr">
        <is>
          <t>Wk 32 2026</t>
        </is>
      </c>
      <c r="BQ12" t="inlineStr">
        <is>
          <t>Wk 33 2026</t>
        </is>
      </c>
      <c r="BR12" t="inlineStr">
        <is>
          <t>Wk 34 2026</t>
        </is>
      </c>
      <c r="BS12" t="inlineStr">
        <is>
          <t>Wk 35 2026</t>
        </is>
      </c>
      <c r="BT12" t="inlineStr">
        <is>
          <t>Wk 36 2026</t>
        </is>
      </c>
      <c r="BU12" t="inlineStr">
        <is>
          <t>Wk 37 2026</t>
        </is>
      </c>
      <c r="BV12" t="inlineStr">
        <is>
          <t>Wk 38 2026</t>
        </is>
      </c>
      <c r="BW12" t="inlineStr">
        <is>
          <t>Wk 39 2026</t>
        </is>
      </c>
      <c r="BX12" t="inlineStr">
        <is>
          <t>Wk 40 2026</t>
        </is>
      </c>
      <c r="BY12" t="inlineStr">
        <is>
          <t>Wk 41 2026</t>
        </is>
      </c>
      <c r="BZ12" t="inlineStr">
        <is>
          <t>Wk 42 2026</t>
        </is>
      </c>
      <c r="CA12" t="inlineStr">
        <is>
          <t>Wk 43 2026</t>
        </is>
      </c>
      <c r="CB12" t="inlineStr">
        <is>
          <t>Wk 44 2026</t>
        </is>
      </c>
      <c r="CC12" t="inlineStr">
        <is>
          <t>Wk 45 2026</t>
        </is>
      </c>
      <c r="CD12" t="inlineStr">
        <is>
          <t>Wk 46 2026</t>
        </is>
      </c>
      <c r="CE12" t="inlineStr">
        <is>
          <t>Wk 47 2026</t>
        </is>
      </c>
      <c r="CF12" t="inlineStr">
        <is>
          <t>Wk 48 2026</t>
        </is>
      </c>
      <c r="CG12" t="inlineStr">
        <is>
          <t>Wk 49 2026</t>
        </is>
      </c>
      <c r="CH12" t="inlineStr">
        <is>
          <t>Wk 50 2026</t>
        </is>
      </c>
      <c r="CI12" t="inlineStr">
        <is>
          <t>Wk 51 2026</t>
        </is>
      </c>
      <c r="CJ12" t="inlineStr">
        <is>
          <t>Wk 52 2026</t>
        </is>
      </c>
    </row>
    <row r="13" ht="15.75" customHeight="1">
      <c r="B13" s="4" t="inlineStr">
        <is>
          <t>UK</t>
        </is>
      </c>
      <c r="C13" s="5" t="n">
        <v>67675</v>
      </c>
      <c r="D13" s="5" t="n">
        <v>159326</v>
      </c>
      <c r="E13" s="5" t="n">
        <v>68991</v>
      </c>
      <c r="F13" s="5" t="n">
        <v>291980</v>
      </c>
      <c r="G13" s="5" t="n">
        <v>202532</v>
      </c>
      <c r="H13" s="5" t="n">
        <v>136517</v>
      </c>
      <c r="I13" s="5" t="n">
        <v>451150</v>
      </c>
      <c r="J13" s="5" t="n">
        <v>282149</v>
      </c>
      <c r="K13" s="5" t="n">
        <v>186009</v>
      </c>
      <c r="L13" s="5" t="n">
        <v>144506</v>
      </c>
      <c r="M13" s="5" t="n">
        <v>130840</v>
      </c>
      <c r="N13" s="5" t="n">
        <v>262857</v>
      </c>
      <c r="O13" s="5" t="n">
        <v>259239</v>
      </c>
      <c r="P13" s="5" t="n">
        <v>621831</v>
      </c>
      <c r="Q13" s="5" t="n">
        <v>502671</v>
      </c>
      <c r="R13" s="5" t="n">
        <v>566411</v>
      </c>
      <c r="S13" s="5" t="n">
        <v>767945</v>
      </c>
      <c r="T13" s="5" t="n">
        <v>769676</v>
      </c>
      <c r="U13" s="5" t="n">
        <v>949072</v>
      </c>
      <c r="V13" s="5" t="n">
        <v>1057926</v>
      </c>
      <c r="W13" s="5" t="n">
        <v>1478098</v>
      </c>
      <c r="X13" s="1" t="n">
        <v>1054529</v>
      </c>
      <c r="Y13" s="1" t="n">
        <v>1519532</v>
      </c>
      <c r="Z13" s="1" t="n">
        <v>921530</v>
      </c>
      <c r="AA13" s="1" t="n">
        <v>1550908</v>
      </c>
      <c r="AB13" s="1" t="n">
        <v>1614481</v>
      </c>
      <c r="AC13" s="1" t="n">
        <v>1024475</v>
      </c>
      <c r="AD13" s="1" t="n">
        <v>4609523</v>
      </c>
      <c r="AE13" s="2" t="n">
        <v>2567889</v>
      </c>
      <c r="AF13" s="2" t="n">
        <v>2410663</v>
      </c>
      <c r="AG13" s="1" t="n">
        <v>2307253</v>
      </c>
      <c r="AH13" s="1" t="n">
        <v>2099303</v>
      </c>
      <c r="AI13" s="1" t="n">
        <v>2042316</v>
      </c>
      <c r="AJ13" s="1" t="n">
        <v>1743225</v>
      </c>
      <c r="AK13" s="1" t="n">
        <v>1611180</v>
      </c>
      <c r="AL13" s="1" t="n">
        <v>1439414</v>
      </c>
      <c r="AM13" s="1" t="n">
        <v>1389172</v>
      </c>
      <c r="AN13" s="1" t="n">
        <v>1107351</v>
      </c>
      <c r="AO13" s="2" t="n">
        <v>1194077</v>
      </c>
      <c r="AP13" s="2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2" t="n"/>
      <c r="AZ13" s="2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2" t="n"/>
      <c r="BJ13" s="2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2" t="n"/>
      <c r="BT13" s="2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2" t="n"/>
      <c r="CD13" s="2" t="n"/>
      <c r="CE13" s="1" t="n"/>
      <c r="CF13" s="1" t="n"/>
      <c r="CG13" s="1" t="n"/>
      <c r="CH13" s="1" t="n"/>
      <c r="CI13" s="1" t="n"/>
      <c r="CJ13" s="1" t="n"/>
    </row>
    <row r="14" ht="15.75" customHeight="1">
      <c r="B14" s="4" t="inlineStr">
        <is>
          <t>DE</t>
        </is>
      </c>
      <c r="C14" s="6" t="n"/>
      <c r="D14" s="7" t="n"/>
      <c r="E14" s="6" t="n"/>
      <c r="F14" s="7" t="n"/>
      <c r="G14" s="5" t="n">
        <v>151873</v>
      </c>
      <c r="H14" s="5" t="n">
        <v>178988</v>
      </c>
      <c r="I14" s="5" t="n">
        <v>567920</v>
      </c>
      <c r="J14" s="5" t="n">
        <v>210874</v>
      </c>
      <c r="K14" s="5" t="n">
        <v>254947</v>
      </c>
      <c r="L14" s="5" t="n">
        <v>215168</v>
      </c>
      <c r="M14" s="5" t="n">
        <v>206153</v>
      </c>
      <c r="N14" s="5" t="n">
        <v>292724</v>
      </c>
      <c r="O14" s="5" t="n">
        <v>245643</v>
      </c>
      <c r="P14" s="5" t="n">
        <v>874992</v>
      </c>
      <c r="Q14" s="5" t="n">
        <v>627113</v>
      </c>
      <c r="R14" s="5" t="n">
        <v>747360</v>
      </c>
      <c r="S14" s="5" t="n">
        <v>825611</v>
      </c>
      <c r="T14" s="5" t="n">
        <v>1055640</v>
      </c>
      <c r="U14" s="5" t="n">
        <v>1046563</v>
      </c>
      <c r="V14" s="5" t="n">
        <v>1117662</v>
      </c>
      <c r="W14" s="5" t="n">
        <v>1185477</v>
      </c>
      <c r="X14" s="1" t="n">
        <v>835780</v>
      </c>
      <c r="Y14" s="1" t="n">
        <v>1611568</v>
      </c>
      <c r="Z14" s="1" t="n">
        <v>966591</v>
      </c>
      <c r="AA14" s="1" t="n">
        <v>1513454</v>
      </c>
      <c r="AB14" s="1" t="n">
        <v>1698492</v>
      </c>
      <c r="AC14" s="1" t="n">
        <v>1073054</v>
      </c>
      <c r="AD14" s="1" t="n">
        <v>2978697</v>
      </c>
      <c r="AE14" s="1" t="n">
        <v>2085211</v>
      </c>
      <c r="AF14" s="1" t="n">
        <v>1693802</v>
      </c>
      <c r="AG14" s="1" t="n">
        <v>1986929</v>
      </c>
      <c r="AH14" s="1" t="n">
        <v>1977784</v>
      </c>
      <c r="AI14" s="1" t="n">
        <v>1795614</v>
      </c>
      <c r="AJ14" s="1" t="n">
        <v>1487982</v>
      </c>
      <c r="AK14" s="1" t="n">
        <v>1367559</v>
      </c>
      <c r="AL14" s="1" t="n">
        <v>1277012</v>
      </c>
      <c r="AM14" s="1" t="n">
        <v>1261399</v>
      </c>
      <c r="AN14" s="1" t="n">
        <v>1066204</v>
      </c>
      <c r="AO14" s="1" t="n">
        <v>1970459</v>
      </c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</row>
    <row r="15" ht="15.75" customHeight="1">
      <c r="B15" s="4" t="inlineStr">
        <is>
          <t>FR</t>
        </is>
      </c>
      <c r="C15" s="6" t="n"/>
      <c r="D15" s="7" t="n"/>
      <c r="E15" s="6" t="n"/>
      <c r="F15" s="7" t="n"/>
      <c r="G15" s="6" t="n"/>
      <c r="H15" s="8" t="n"/>
      <c r="I15" s="9" t="n"/>
      <c r="J15" s="8" t="n"/>
      <c r="K15" s="9" t="n"/>
      <c r="L15" s="8" t="n"/>
      <c r="M15" s="9" t="n"/>
      <c r="N15" s="8" t="n"/>
      <c r="O15" s="9" t="n"/>
      <c r="P15" s="8" t="n"/>
      <c r="Q15" s="9" t="n"/>
      <c r="R15" s="8" t="n"/>
      <c r="S15" s="9" t="n"/>
      <c r="T15" s="8" t="n"/>
      <c r="U15" s="9" t="n"/>
      <c r="V15" s="8" t="n"/>
      <c r="W15" s="9" t="n"/>
      <c r="X15" s="1" t="n">
        <v>404488</v>
      </c>
      <c r="Y15" s="1" t="n">
        <v>426181</v>
      </c>
      <c r="Z15" s="1" t="n">
        <v>192684</v>
      </c>
      <c r="AA15" s="1" t="n">
        <v>359994</v>
      </c>
      <c r="AB15" s="1" t="n">
        <v>268324</v>
      </c>
      <c r="AC15" s="1" t="n">
        <v>269956</v>
      </c>
      <c r="AD15" s="1" t="n">
        <v>1490491</v>
      </c>
      <c r="AE15" s="1" t="n">
        <v>722619</v>
      </c>
      <c r="AF15" s="1" t="n">
        <v>606491</v>
      </c>
      <c r="AG15" s="1" t="n">
        <v>728825</v>
      </c>
      <c r="AH15" s="1" t="n">
        <v>827229</v>
      </c>
      <c r="AI15" s="1" t="n">
        <v>628957</v>
      </c>
      <c r="AJ15" s="1" t="n">
        <v>729311</v>
      </c>
      <c r="AK15" s="1" t="n">
        <v>513048</v>
      </c>
      <c r="AL15" s="1" t="n">
        <v>412666</v>
      </c>
      <c r="AM15" s="1" t="n">
        <v>397887</v>
      </c>
      <c r="AN15" s="1" t="n">
        <v>399012</v>
      </c>
      <c r="AO15" s="1" t="n">
        <v>478066</v>
      </c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</row>
    <row r="16" ht="15.75" customHeight="1">
      <c r="B16" s="4" t="inlineStr">
        <is>
          <t>IT</t>
        </is>
      </c>
      <c r="C16" s="6" t="n"/>
      <c r="D16" s="7" t="n"/>
      <c r="E16" s="6" t="n"/>
      <c r="F16" s="7" t="n"/>
      <c r="G16" s="6" t="n"/>
      <c r="H16" s="8" t="n"/>
      <c r="I16" s="9" t="n"/>
      <c r="J16" s="8" t="n"/>
      <c r="K16" s="9" t="n"/>
      <c r="L16" s="8" t="n"/>
      <c r="M16" s="9" t="n"/>
      <c r="N16" s="8" t="n"/>
      <c r="O16" s="9" t="n"/>
      <c r="P16" s="8" t="n"/>
      <c r="Q16" s="9" t="n"/>
      <c r="R16" s="8" t="n"/>
      <c r="S16" s="9" t="n"/>
      <c r="T16" s="8" t="n"/>
      <c r="U16" s="9" t="n"/>
      <c r="V16" s="8" t="n"/>
      <c r="W16" s="9" t="n"/>
      <c r="X16" s="1" t="n">
        <v>902804</v>
      </c>
      <c r="Y16" s="1" t="n">
        <v>1230356</v>
      </c>
      <c r="Z16" s="1" t="n">
        <v>554434</v>
      </c>
      <c r="AA16" s="1" t="n">
        <v>940467</v>
      </c>
      <c r="AB16" s="1" t="n">
        <v>851323</v>
      </c>
      <c r="AC16" s="1" t="n">
        <v>693342</v>
      </c>
      <c r="AD16" s="1" t="n">
        <v>3034751</v>
      </c>
      <c r="AE16" s="1" t="n">
        <v>1638905</v>
      </c>
      <c r="AF16" s="1" t="n">
        <v>1179861</v>
      </c>
      <c r="AG16" s="1" t="n">
        <v>1906245</v>
      </c>
      <c r="AH16" s="1" t="n">
        <v>2004148</v>
      </c>
      <c r="AI16" s="1" t="n">
        <v>1661838</v>
      </c>
      <c r="AJ16" s="1" t="n">
        <v>1499445</v>
      </c>
      <c r="AK16" s="1" t="n">
        <v>1028000</v>
      </c>
      <c r="AL16" s="1" t="n">
        <v>981826</v>
      </c>
      <c r="AM16" s="1" t="n">
        <v>1047291</v>
      </c>
      <c r="AN16" s="1" t="n">
        <v>990397</v>
      </c>
      <c r="AO16" s="1" t="n">
        <v>1502666</v>
      </c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</row>
    <row r="17" ht="15.75" customHeight="1">
      <c r="B17" s="10" t="inlineStr">
        <is>
          <t>ES</t>
        </is>
      </c>
      <c r="C17" s="6" t="n"/>
      <c r="D17" s="7" t="n"/>
      <c r="E17" s="6" t="n"/>
      <c r="F17" s="7" t="n"/>
      <c r="G17" s="6" t="n"/>
      <c r="H17" s="11" t="n"/>
      <c r="I17" s="12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" t="n">
        <v>606478</v>
      </c>
      <c r="Y17" s="1" t="n">
        <v>450536</v>
      </c>
      <c r="Z17" s="1" t="n">
        <v>521850</v>
      </c>
      <c r="AA17" s="1" t="n">
        <v>565060</v>
      </c>
      <c r="AB17" s="1" t="n">
        <v>447930</v>
      </c>
      <c r="AC17" s="1" t="n">
        <v>405104</v>
      </c>
      <c r="AD17" s="1" t="n">
        <v>1951909</v>
      </c>
      <c r="AE17" s="1" t="n">
        <v>643654</v>
      </c>
      <c r="AF17" s="1" t="n">
        <v>715739</v>
      </c>
      <c r="AG17" s="1" t="n">
        <v>1197111</v>
      </c>
      <c r="AH17" s="1" t="n">
        <v>1251997</v>
      </c>
      <c r="AI17" s="1" t="n">
        <v>1373833</v>
      </c>
      <c r="AJ17" s="1" t="n">
        <v>1214448</v>
      </c>
      <c r="AK17" s="1" t="n">
        <v>901152</v>
      </c>
      <c r="AL17" s="1" t="n">
        <v>1376576</v>
      </c>
      <c r="AM17" s="1" t="n">
        <v>1010795</v>
      </c>
      <c r="AN17" s="1" t="n">
        <v>815749</v>
      </c>
      <c r="AO17" s="1" t="n">
        <v>1345573</v>
      </c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</row>
    <row r="18" ht="15.75" customHeight="1">
      <c r="B18" s="13" t="inlineStr">
        <is>
          <t>EU5</t>
        </is>
      </c>
      <c r="C18" s="14">
        <f>SUBTOTAL(109,C13:C17)</f>
        <v/>
      </c>
      <c r="D18" s="14">
        <f>SUBTOTAL(109,D13:D17)</f>
        <v/>
      </c>
      <c r="E18" s="14">
        <f>SUBTOTAL(109,E13:E17)</f>
        <v/>
      </c>
      <c r="F18" s="14">
        <f>SUBTOTAL(109,F13:F17)</f>
        <v/>
      </c>
      <c r="G18" s="14">
        <f>SUBTOTAL(109,G13:G17)</f>
        <v/>
      </c>
      <c r="H18" s="14">
        <f>SUBTOTAL(109,H13:H17)</f>
        <v/>
      </c>
      <c r="I18" s="14">
        <f>SUBTOTAL(109,I13:I17)</f>
        <v/>
      </c>
      <c r="J18" s="14">
        <f>SUBTOTAL(109,J13:J17)</f>
        <v/>
      </c>
      <c r="K18" s="14">
        <f>SUBTOTAL(109,K13:K17)</f>
        <v/>
      </c>
      <c r="L18" s="14">
        <f>SUBTOTAL(109,L13:L17)</f>
        <v/>
      </c>
      <c r="M18" s="14">
        <f>SUBTOTAL(109,M13:M17)</f>
        <v/>
      </c>
      <c r="N18" s="14">
        <f>SUBTOTAL(109,N13:N17)</f>
        <v/>
      </c>
      <c r="O18" s="14">
        <f>SUBTOTAL(109,O13:O17)</f>
        <v/>
      </c>
      <c r="P18" s="14">
        <f>SUBTOTAL(109,P13:P17)</f>
        <v/>
      </c>
      <c r="Q18" s="14">
        <f>SUBTOTAL(109,Q13:Q17)</f>
        <v/>
      </c>
      <c r="R18" s="14">
        <f>SUBTOTAL(109,R13:R17)</f>
        <v/>
      </c>
      <c r="S18" s="14">
        <f>SUBTOTAL(109,S13:S17)</f>
        <v/>
      </c>
      <c r="T18" s="14">
        <f>SUBTOTAL(109,T13:T17)</f>
        <v/>
      </c>
      <c r="U18" s="14">
        <f>SUBTOTAL(109,U13:U17)</f>
        <v/>
      </c>
      <c r="V18" s="14">
        <f>SUBTOTAL(109,V13:V17)</f>
        <v/>
      </c>
      <c r="W18" s="14">
        <f>SUBTOTAL(109,W13:W17)</f>
        <v/>
      </c>
      <c r="X18" s="1">
        <f>SUBTOTAL(109,X13:X17)</f>
        <v/>
      </c>
      <c r="Y18" s="1">
        <f>SUBTOTAL(109,Y13:Y17)</f>
        <v/>
      </c>
      <c r="Z18" s="1">
        <f>SUBTOTAL(109,Z13:Z17)</f>
        <v/>
      </c>
      <c r="AA18" s="1">
        <f>SUBTOTAL(109,AA13:AA17)</f>
        <v/>
      </c>
      <c r="AB18" s="1">
        <f>SUBTOTAL(109,AB13:AB17)</f>
        <v/>
      </c>
      <c r="AC18" s="1">
        <f>SUBTOTAL(109,AC13:AC17)</f>
        <v/>
      </c>
      <c r="AD18" s="1">
        <f>SUBTOTAL(109,AD13:AD17)</f>
        <v/>
      </c>
      <c r="AE18" s="2">
        <f>SUBTOTAL(109,AE13:AE17)</f>
        <v/>
      </c>
      <c r="AF18" s="2">
        <f>SUBTOTAL(109,AF13:AF17)</f>
        <v/>
      </c>
      <c r="AG18" s="2">
        <f>SUBTOTAL(109,AG13:AG17)</f>
        <v/>
      </c>
      <c r="AH18" s="2">
        <f>SUBTOTAL(109,AH13:AH17)</f>
        <v/>
      </c>
      <c r="AI18" s="2">
        <f>SUBTOTAL(109,AI13:AI17)</f>
        <v/>
      </c>
      <c r="AJ18" s="2">
        <f>SUBTOTAL(109,AJ13:AJ17)</f>
        <v/>
      </c>
      <c r="AK18" s="2">
        <f>SUBTOTAL(109,AK13:AK17)</f>
        <v/>
      </c>
      <c r="AL18" s="2">
        <f>SUBTOTAL(109,AL13:AL17)</f>
        <v/>
      </c>
      <c r="AM18" s="1" t="n">
        <v>5106544</v>
      </c>
      <c r="AN18" s="1" t="n">
        <v>4378713</v>
      </c>
      <c r="AO18" s="2" t="n">
        <v>6490841</v>
      </c>
      <c r="AP18" s="2" t="n"/>
      <c r="AQ18" s="2" t="n"/>
      <c r="AR18" s="1" t="n"/>
      <c r="AS18" s="1" t="n"/>
      <c r="AT18" s="1" t="n"/>
      <c r="AU18" s="1" t="n"/>
      <c r="AV18" s="1" t="n"/>
      <c r="AW18" s="1" t="n"/>
      <c r="AX18" s="1" t="n"/>
      <c r="AY18" s="2" t="n"/>
      <c r="AZ18" s="2" t="n"/>
      <c r="BA18" s="2" t="n"/>
      <c r="BB18" s="1" t="n"/>
      <c r="BC18" s="1" t="n"/>
      <c r="BD18" s="1" t="n"/>
      <c r="BE18" s="1" t="n"/>
      <c r="BF18" s="1" t="n"/>
      <c r="BG18" s="1" t="n"/>
      <c r="BH18" s="1" t="n"/>
      <c r="BI18" s="2" t="n"/>
      <c r="BJ18" s="2" t="n"/>
      <c r="BK18" s="2" t="n"/>
      <c r="BL18" s="1" t="n"/>
      <c r="BM18" s="1" t="n"/>
      <c r="BN18" s="1" t="n"/>
      <c r="BO18" s="1" t="n"/>
      <c r="BP18" s="1" t="n"/>
      <c r="BQ18" s="1" t="n"/>
      <c r="BR18" s="1" t="n"/>
      <c r="BS18" s="2" t="n"/>
      <c r="BT18" s="2" t="n"/>
      <c r="BU18" s="2" t="n"/>
      <c r="BV18" s="1" t="n"/>
      <c r="BW18" s="1" t="n"/>
      <c r="BX18" s="1" t="n"/>
      <c r="BY18" s="1" t="n"/>
      <c r="BZ18" s="1" t="n"/>
      <c r="CA18" s="1" t="n"/>
      <c r="CB18" s="1" t="n"/>
      <c r="CC18" s="2" t="n"/>
      <c r="CD18" s="2" t="n"/>
      <c r="CE18" s="2" t="n"/>
      <c r="CF18" s="1" t="n"/>
      <c r="CG18" s="1" t="n"/>
      <c r="CH18" s="1" t="n"/>
      <c r="CI18" s="1" t="n"/>
      <c r="CJ18" s="1" t="n"/>
    </row>
    <row r="20">
      <c r="B20" t="inlineStr">
        <is>
          <t>Transit Conversion</t>
        </is>
      </c>
    </row>
    <row r="21">
      <c r="B21" t="inlineStr">
        <is>
          <t>MP</t>
        </is>
      </c>
      <c r="C21" t="inlineStr">
        <is>
          <t>Wk19 2025</t>
        </is>
      </c>
      <c r="D21" t="inlineStr">
        <is>
          <t>Wk20 2025</t>
        </is>
      </c>
      <c r="E21" t="inlineStr">
        <is>
          <t>Wk21 2025</t>
        </is>
      </c>
      <c r="F21" t="inlineStr">
        <is>
          <t>Wk22 2025</t>
        </is>
      </c>
      <c r="G21" t="inlineStr">
        <is>
          <t>Wk23 2025</t>
        </is>
      </c>
      <c r="H21" t="inlineStr">
        <is>
          <t>Wk24 2025</t>
        </is>
      </c>
      <c r="I21" t="inlineStr">
        <is>
          <t>Wk25 2025</t>
        </is>
      </c>
      <c r="J21" t="inlineStr">
        <is>
          <t>Wk26 2025</t>
        </is>
      </c>
      <c r="K21" t="inlineStr">
        <is>
          <t>Wk27 2025</t>
        </is>
      </c>
      <c r="L21" t="inlineStr">
        <is>
          <t>Wk28 2025</t>
        </is>
      </c>
      <c r="M21" t="inlineStr">
        <is>
          <t>Wk29 2025</t>
        </is>
      </c>
      <c r="N21" t="inlineStr">
        <is>
          <t>Wk30 2025</t>
        </is>
      </c>
      <c r="O21" t="inlineStr">
        <is>
          <t>Wk31 2025</t>
        </is>
      </c>
      <c r="P21" t="inlineStr">
        <is>
          <t>Wk32 2025</t>
        </is>
      </c>
      <c r="Q21" t="inlineStr">
        <is>
          <t>Wk33 2025</t>
        </is>
      </c>
      <c r="R21" t="inlineStr">
        <is>
          <t>Wk34 2025</t>
        </is>
      </c>
      <c r="S21" t="inlineStr">
        <is>
          <t>Wk35 2025</t>
        </is>
      </c>
      <c r="T21" t="inlineStr">
        <is>
          <t>Wk36 2025</t>
        </is>
      </c>
      <c r="U21" t="inlineStr">
        <is>
          <t>Wk37 2025</t>
        </is>
      </c>
      <c r="V21" t="inlineStr">
        <is>
          <t>Wk38 2025</t>
        </is>
      </c>
      <c r="W21" t="inlineStr">
        <is>
          <t>Wk39 2025</t>
        </is>
      </c>
      <c r="X21" t="inlineStr">
        <is>
          <t>Wk40 2025</t>
        </is>
      </c>
      <c r="Y21" t="inlineStr">
        <is>
          <t>Wk41 2025</t>
        </is>
      </c>
      <c r="Z21" t="inlineStr">
        <is>
          <t>Wk42 2025</t>
        </is>
      </c>
      <c r="AA21" t="inlineStr">
        <is>
          <t>Wk43 2025</t>
        </is>
      </c>
      <c r="AB21" t="inlineStr">
        <is>
          <t>Wk44 2025</t>
        </is>
      </c>
      <c r="AC21" t="inlineStr">
        <is>
          <t>Wk45 2025</t>
        </is>
      </c>
      <c r="AD21" t="inlineStr">
        <is>
          <t>Wk46 2025</t>
        </is>
      </c>
      <c r="AE21" t="inlineStr">
        <is>
          <t>Wk47 2025</t>
        </is>
      </c>
      <c r="AF21" t="inlineStr">
        <is>
          <t>Wk48 2025</t>
        </is>
      </c>
      <c r="AG21" t="inlineStr">
        <is>
          <t>Wk49 2025</t>
        </is>
      </c>
      <c r="AH21" t="inlineStr">
        <is>
          <t>Wk50 2025</t>
        </is>
      </c>
      <c r="AI21" t="inlineStr">
        <is>
          <t>Wk51 2025</t>
        </is>
      </c>
      <c r="AJ21" t="inlineStr">
        <is>
          <t>Wk52 2025</t>
        </is>
      </c>
      <c r="AK21" t="inlineStr">
        <is>
          <t>Wk 1 2026</t>
        </is>
      </c>
      <c r="AL21" s="15" t="inlineStr">
        <is>
          <t>Wk 2 2026</t>
        </is>
      </c>
      <c r="AM21" t="inlineStr">
        <is>
          <t>Wk 3 2026</t>
        </is>
      </c>
      <c r="AN21" t="inlineStr">
        <is>
          <t>Wk 4 2026</t>
        </is>
      </c>
      <c r="AO21" t="inlineStr">
        <is>
          <t>Wk 5 2026</t>
        </is>
      </c>
      <c r="AP21" t="inlineStr">
        <is>
          <t>Wk 6 2026</t>
        </is>
      </c>
      <c r="AQ21" t="inlineStr">
        <is>
          <t>Wk 7 2026</t>
        </is>
      </c>
      <c r="AR21" t="inlineStr">
        <is>
          <t>Wk 8 2026</t>
        </is>
      </c>
      <c r="AS21" t="inlineStr">
        <is>
          <t>Wk 9 2026</t>
        </is>
      </c>
      <c r="AT21" t="inlineStr">
        <is>
          <t>Wk 10 2026</t>
        </is>
      </c>
      <c r="AU21" t="inlineStr">
        <is>
          <t>Wk 11 2026</t>
        </is>
      </c>
      <c r="AV21" t="inlineStr">
        <is>
          <t>Wk 12 2026</t>
        </is>
      </c>
      <c r="AW21" t="inlineStr">
        <is>
          <t>Wk 13 2026</t>
        </is>
      </c>
      <c r="AX21" t="inlineStr">
        <is>
          <t>Wk 14 2026</t>
        </is>
      </c>
      <c r="AY21" t="inlineStr">
        <is>
          <t>Wk 15 2026</t>
        </is>
      </c>
      <c r="AZ21" t="inlineStr">
        <is>
          <t>Wk 16 2026</t>
        </is>
      </c>
      <c r="BA21" t="inlineStr">
        <is>
          <t>Wk 17 2026</t>
        </is>
      </c>
      <c r="BB21" t="inlineStr">
        <is>
          <t>Wk 18 2026</t>
        </is>
      </c>
      <c r="BC21" t="inlineStr">
        <is>
          <t>Wk 19 2026</t>
        </is>
      </c>
      <c r="BD21" t="inlineStr">
        <is>
          <t>Wk 20 2026</t>
        </is>
      </c>
      <c r="BE21" t="inlineStr">
        <is>
          <t>Wk 21 2026</t>
        </is>
      </c>
      <c r="BF21" t="inlineStr">
        <is>
          <t>Wk 22 2026</t>
        </is>
      </c>
      <c r="BG21" t="inlineStr">
        <is>
          <t>Wk 23 2026</t>
        </is>
      </c>
      <c r="BH21" t="inlineStr">
        <is>
          <t>Wk 24 2026</t>
        </is>
      </c>
      <c r="BI21" t="inlineStr">
        <is>
          <t>Wk 25 2026</t>
        </is>
      </c>
      <c r="BJ21" t="inlineStr">
        <is>
          <t>Wk 26 2026</t>
        </is>
      </c>
      <c r="BK21" t="inlineStr">
        <is>
          <t>Wk 27 2026</t>
        </is>
      </c>
      <c r="BL21" t="inlineStr">
        <is>
          <t>Wk 28 2026</t>
        </is>
      </c>
      <c r="BM21" t="inlineStr">
        <is>
          <t>Wk 29 2026</t>
        </is>
      </c>
      <c r="BN21" t="inlineStr">
        <is>
          <t>Wk 30 2026</t>
        </is>
      </c>
      <c r="BO21" t="inlineStr">
        <is>
          <t>Wk 31 2026</t>
        </is>
      </c>
      <c r="BP21" t="inlineStr">
        <is>
          <t>Wk 32 2026</t>
        </is>
      </c>
      <c r="BQ21" t="inlineStr">
        <is>
          <t>Wk 33 2026</t>
        </is>
      </c>
      <c r="BR21" t="inlineStr">
        <is>
          <t>Wk 34 2026</t>
        </is>
      </c>
      <c r="BS21" t="inlineStr">
        <is>
          <t>Wk 35 2026</t>
        </is>
      </c>
      <c r="BT21" t="inlineStr">
        <is>
          <t>Wk 36 2026</t>
        </is>
      </c>
      <c r="BU21" t="inlineStr">
        <is>
          <t>Wk 37 2026</t>
        </is>
      </c>
      <c r="BV21" t="inlineStr">
        <is>
          <t>Wk 38 2026</t>
        </is>
      </c>
      <c r="BW21" t="inlineStr">
        <is>
          <t>Wk 39 2026</t>
        </is>
      </c>
      <c r="BX21" t="inlineStr">
        <is>
          <t>Wk 40 2026</t>
        </is>
      </c>
      <c r="BY21" t="inlineStr">
        <is>
          <t>Wk 41 2026</t>
        </is>
      </c>
      <c r="BZ21" t="inlineStr">
        <is>
          <t>Wk 42 2026</t>
        </is>
      </c>
      <c r="CA21" t="inlineStr">
        <is>
          <t>Wk 43 2026</t>
        </is>
      </c>
      <c r="CB21" t="inlineStr">
        <is>
          <t>Wk 44 2026</t>
        </is>
      </c>
      <c r="CC21" t="inlineStr">
        <is>
          <t>Wk 45 2026</t>
        </is>
      </c>
      <c r="CD21" t="inlineStr">
        <is>
          <t>Wk 46 2026</t>
        </is>
      </c>
      <c r="CE21" t="inlineStr">
        <is>
          <t>Wk 47 2026</t>
        </is>
      </c>
      <c r="CF21" t="inlineStr">
        <is>
          <t>Wk 48 2026</t>
        </is>
      </c>
      <c r="CG21" t="inlineStr">
        <is>
          <t>Wk 49 2026</t>
        </is>
      </c>
      <c r="CH21" t="inlineStr">
        <is>
          <t>Wk 50 2026</t>
        </is>
      </c>
      <c r="CI21" t="inlineStr">
        <is>
          <t>Wk 51 2026</t>
        </is>
      </c>
      <c r="CJ21" s="16" t="inlineStr">
        <is>
          <t>Wk 52 2026</t>
        </is>
      </c>
    </row>
    <row r="22" ht="15.75" customHeight="1">
      <c r="B22" s="17" t="inlineStr">
        <is>
          <t>UK</t>
        </is>
      </c>
      <c r="C22" s="18" t="n">
        <v>0.00833394902105652</v>
      </c>
      <c r="D22" s="18" t="n">
        <v>0.007895760892760754</v>
      </c>
      <c r="E22" s="18" t="n">
        <v>0.009247583018074821</v>
      </c>
      <c r="F22" s="18" t="n">
        <v>0.01960750736351805</v>
      </c>
      <c r="G22" s="18" t="n">
        <v>0.02738332707917761</v>
      </c>
      <c r="H22" s="18" t="n">
        <v>0.01443776232996623</v>
      </c>
      <c r="I22" s="18" t="n">
        <v>0.01913997561786545</v>
      </c>
      <c r="J22" s="18" t="n">
        <v>0.01827403251473512</v>
      </c>
      <c r="K22" s="18" t="n">
        <v>0.02022482783091141</v>
      </c>
      <c r="L22" s="18" t="n">
        <v>0.02484325910342823</v>
      </c>
      <c r="M22" s="18" t="n">
        <v>0.02116325282788138</v>
      </c>
      <c r="N22" s="18" t="n">
        <v>0.02442392631735126</v>
      </c>
      <c r="O22" s="18" t="n">
        <v>0.02025929740509723</v>
      </c>
      <c r="P22" s="18" t="n">
        <v>0.02325390660806554</v>
      </c>
      <c r="Q22" s="18" t="n">
        <v>0.03217810456541157</v>
      </c>
      <c r="R22" s="18" t="n">
        <v>0.01890676558188312</v>
      </c>
      <c r="S22" s="18" t="n">
        <v>0.0155688232881261</v>
      </c>
      <c r="T22" s="18" t="n">
        <v>0.0168564434905077</v>
      </c>
      <c r="U22" s="18" t="n">
        <v>0.02885450208203382</v>
      </c>
      <c r="V22" s="18" t="n">
        <v>0.01399152681756569</v>
      </c>
      <c r="W22" s="18" t="n">
        <v>0.01766256364598288</v>
      </c>
      <c r="X22" s="19" t="n">
        <v>0.02103119022805442</v>
      </c>
      <c r="Y22" s="19" t="n">
        <v>0.02847455663980752</v>
      </c>
      <c r="Z22" s="19" t="n">
        <v>0.01313576335008084</v>
      </c>
      <c r="AA22" s="19" t="n">
        <v>0.01816097408743781</v>
      </c>
      <c r="AB22" s="19" t="n">
        <v>0.02220589774670622</v>
      </c>
      <c r="AC22" s="19" t="n">
        <v>0.016</v>
      </c>
      <c r="AD22" s="19" t="n">
        <v>0.039</v>
      </c>
      <c r="AE22" s="20" t="n">
        <v>0.03</v>
      </c>
      <c r="AF22" s="20" t="n">
        <v>0.03473213737536458</v>
      </c>
      <c r="AG22" s="19" t="n">
        <v>0.02997944929978935</v>
      </c>
      <c r="AH22" s="19" t="n">
        <v>0.03464394635832752</v>
      </c>
      <c r="AI22" s="19" t="n">
        <v>0.01828775021000999</v>
      </c>
      <c r="AJ22" s="19" t="n">
        <v>0.0188427376086636</v>
      </c>
      <c r="AK22" s="19" t="n">
        <v>0.02601942397352766</v>
      </c>
      <c r="AL22" s="19" t="n">
        <v>0.03234818175067061</v>
      </c>
      <c r="AM22" s="19" t="n">
        <v>0.03153101271836749</v>
      </c>
      <c r="AN22" s="19" t="n">
        <v>0.0305232938788153</v>
      </c>
      <c r="AO22" s="20" t="n">
        <v>0.02999304064980734</v>
      </c>
      <c r="AP22" s="20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20" t="n"/>
      <c r="AZ22" s="20" t="n"/>
      <c r="BA22" s="19" t="n"/>
      <c r="BB22" s="19" t="n"/>
      <c r="BC22" s="19" t="n"/>
      <c r="BD22" s="19" t="n"/>
      <c r="BE22" s="19" t="n"/>
      <c r="BF22" s="19" t="n"/>
      <c r="BG22" s="19" t="n"/>
      <c r="BH22" s="19" t="n"/>
      <c r="BI22" s="20" t="n"/>
      <c r="BJ22" s="20" t="n"/>
      <c r="BK22" s="19" t="n"/>
      <c r="BL22" s="19" t="n"/>
      <c r="BM22" s="19" t="n"/>
      <c r="BN22" s="19" t="n"/>
      <c r="BO22" s="19" t="n"/>
      <c r="BP22" s="19" t="n"/>
      <c r="BQ22" s="19" t="n"/>
      <c r="BR22" s="19" t="n"/>
      <c r="BS22" s="20" t="n"/>
      <c r="BT22" s="20" t="n"/>
      <c r="BU22" s="19" t="n"/>
      <c r="BV22" s="19" t="n"/>
      <c r="BW22" s="19" t="n"/>
      <c r="BX22" s="19" t="n"/>
      <c r="BY22" s="19" t="n"/>
      <c r="BZ22" s="19" t="n"/>
      <c r="CA22" s="19" t="n"/>
      <c r="CB22" s="19" t="n"/>
      <c r="CC22" s="20" t="n"/>
      <c r="CD22" s="20" t="n"/>
      <c r="CE22" s="19" t="n"/>
      <c r="CF22" s="19" t="n"/>
      <c r="CG22" s="19" t="n"/>
      <c r="CH22" s="19" t="n"/>
      <c r="CI22" s="19" t="n"/>
      <c r="CJ22" s="19" t="n"/>
    </row>
    <row r="23" ht="15.75" customHeight="1">
      <c r="B23" s="17" t="inlineStr">
        <is>
          <t>DE</t>
        </is>
      </c>
      <c r="C23" s="21" t="n"/>
      <c r="D23" s="22" t="n"/>
      <c r="E23" s="21" t="n"/>
      <c r="F23" s="22" t="n"/>
      <c r="G23" s="18" t="n">
        <v>0.008237145509735108</v>
      </c>
      <c r="H23" s="18" t="n">
        <v>0.01016827943772767</v>
      </c>
      <c r="I23" s="18" t="n">
        <v>0.01629630933934357</v>
      </c>
      <c r="J23" s="18" t="n">
        <v>0.02050513576827869</v>
      </c>
      <c r="K23" s="18" t="n">
        <v>0.01561893256245416</v>
      </c>
      <c r="L23" s="18" t="n">
        <v>0.01494181290898275</v>
      </c>
      <c r="M23" s="18" t="n">
        <v>0.01301460565696352</v>
      </c>
      <c r="N23" s="18" t="n">
        <v>0.01388338503163389</v>
      </c>
      <c r="O23" s="18" t="n">
        <v>0.01080022634473606</v>
      </c>
      <c r="P23" s="18" t="n">
        <v>0.01259440086309361</v>
      </c>
      <c r="Q23" s="18" t="n">
        <v>0.02091808015461328</v>
      </c>
      <c r="R23" s="18" t="n">
        <v>0.009199047313209164</v>
      </c>
      <c r="S23" s="18" t="n">
        <v>0.008964270098145495</v>
      </c>
      <c r="T23" s="18" t="n">
        <v>0.01835474214694403</v>
      </c>
      <c r="U23" s="18" t="n">
        <v>0.01697174465369022</v>
      </c>
      <c r="V23" s="18" t="n">
        <v>0.009191508702988918</v>
      </c>
      <c r="W23" s="18" t="n">
        <v>0.01216388002466518</v>
      </c>
      <c r="X23" s="19" t="n">
        <v>0.01466414606714686</v>
      </c>
      <c r="Y23" s="19" t="n">
        <v>0.02506502983429803</v>
      </c>
      <c r="Z23" s="19" t="n">
        <v>0.006634657264551398</v>
      </c>
      <c r="AA23" s="19" t="n">
        <v>0.0122983585890288</v>
      </c>
      <c r="AB23" s="19" t="n">
        <v>0.01527413729355216</v>
      </c>
      <c r="AC23" s="19" t="n">
        <v>0.01</v>
      </c>
      <c r="AD23" s="19" t="n">
        <v>0.014</v>
      </c>
      <c r="AE23" s="19" t="n">
        <v>0.012</v>
      </c>
      <c r="AF23" s="19" t="n">
        <v>0.01466391389769144</v>
      </c>
      <c r="AG23" s="19" t="n">
        <v>0.01035018890007647</v>
      </c>
      <c r="AH23" s="19" t="n">
        <v>0.01026328526367454</v>
      </c>
      <c r="AI23" s="19" t="n">
        <v>0.00865265405735976</v>
      </c>
      <c r="AJ23" s="19" t="n">
        <v>0.008804330995590848</v>
      </c>
      <c r="AK23" s="19" t="n">
        <v>0.01260711209212819</v>
      </c>
      <c r="AL23" s="19" t="n">
        <v>0.01619593976012826</v>
      </c>
      <c r="AM23" s="19" t="n">
        <v>0.01564294882111053</v>
      </c>
      <c r="AN23" s="19" t="n">
        <v>0.01349085165690618</v>
      </c>
      <c r="AO23" s="19" t="n">
        <v>0.008379773443649425</v>
      </c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19" t="n"/>
      <c r="BA23" s="19" t="n"/>
      <c r="BB23" s="19" t="n"/>
      <c r="BC23" s="19" t="n"/>
      <c r="BD23" s="19" t="n"/>
      <c r="BE23" s="19" t="n"/>
      <c r="BF23" s="19" t="n"/>
      <c r="BG23" s="19" t="n"/>
      <c r="BH23" s="19" t="n"/>
      <c r="BI23" s="19" t="n"/>
      <c r="BJ23" s="19" t="n"/>
      <c r="BK23" s="19" t="n"/>
      <c r="BL23" s="19" t="n"/>
      <c r="BM23" s="19" t="n"/>
      <c r="BN23" s="19" t="n"/>
      <c r="BO23" s="19" t="n"/>
      <c r="BP23" s="19" t="n"/>
      <c r="BQ23" s="19" t="n"/>
      <c r="BR23" s="19" t="n"/>
      <c r="BS23" s="19" t="n"/>
      <c r="BT23" s="19" t="n"/>
      <c r="BU23" s="19" t="n"/>
      <c r="BV23" s="19" t="n"/>
      <c r="BW23" s="19" t="n"/>
      <c r="BX23" s="19" t="n"/>
      <c r="BY23" s="19" t="n"/>
      <c r="BZ23" s="19" t="n"/>
      <c r="CA23" s="19" t="n"/>
      <c r="CB23" s="19" t="n"/>
      <c r="CC23" s="19" t="n"/>
      <c r="CD23" s="19" t="n"/>
      <c r="CE23" s="19" t="n"/>
      <c r="CF23" s="19" t="n"/>
      <c r="CG23" s="19" t="n"/>
      <c r="CH23" s="19" t="n"/>
      <c r="CI23" s="19" t="n"/>
      <c r="CJ23" s="19" t="n"/>
    </row>
    <row r="24" ht="15.75" customHeight="1">
      <c r="B24" s="17" t="inlineStr">
        <is>
          <t>FR</t>
        </is>
      </c>
      <c r="C24" s="21" t="n"/>
      <c r="D24" s="22" t="n"/>
      <c r="E24" s="21" t="n"/>
      <c r="F24" s="22" t="n"/>
      <c r="G24" s="21" t="n"/>
      <c r="H24" s="23" t="n"/>
      <c r="I24" s="24" t="n"/>
      <c r="J24" s="23" t="n"/>
      <c r="K24" s="24" t="n"/>
      <c r="L24" s="23" t="n"/>
      <c r="M24" s="24" t="n"/>
      <c r="N24" s="23" t="n"/>
      <c r="O24" s="24" t="n"/>
      <c r="P24" s="23" t="n"/>
      <c r="Q24" s="24" t="n"/>
      <c r="R24" s="23" t="n"/>
      <c r="S24" s="24" t="n"/>
      <c r="T24" s="23" t="n"/>
      <c r="U24" s="24" t="n"/>
      <c r="V24" s="23" t="n"/>
      <c r="W24" s="24" t="n"/>
      <c r="X24" s="19" t="n">
        <v>0.005641700124601966</v>
      </c>
      <c r="Y24" s="19" t="n">
        <v>0.01319392464703964</v>
      </c>
      <c r="Z24" s="19" t="n">
        <v>0.005153515600672604</v>
      </c>
      <c r="AA24" s="19" t="n">
        <v>0.007525125418756979</v>
      </c>
      <c r="AB24" s="19" t="n">
        <v>0.008649990310221971</v>
      </c>
      <c r="AC24" s="19" t="n">
        <v>0.005</v>
      </c>
      <c r="AD24" s="19" t="n">
        <v>0.02</v>
      </c>
      <c r="AE24" s="19" t="n">
        <v>0.011</v>
      </c>
      <c r="AF24" s="19" t="n">
        <v>0.0143710243069213</v>
      </c>
      <c r="AG24" s="19" t="n">
        <v>0.008141439175456051</v>
      </c>
      <c r="AH24" s="19" t="n">
        <v>0.006064045006017812</v>
      </c>
      <c r="AI24" s="19" t="n">
        <v>0.01697005834541243</v>
      </c>
      <c r="AJ24" s="19" t="n">
        <v>0.004571580555303824</v>
      </c>
      <c r="AK24" s="19" t="n">
        <v>0.006965419989210635</v>
      </c>
      <c r="AL24" s="19" t="n">
        <v>0.0121230628112458</v>
      </c>
      <c r="AM24" s="19" t="n">
        <v>0.01133990303779716</v>
      </c>
      <c r="AN24" s="19" t="n">
        <v>0.007706535141800246</v>
      </c>
      <c r="AO24" s="19" t="n">
        <v>0.006308752348002158</v>
      </c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K24" s="19" t="n"/>
      <c r="BL24" s="19" t="n"/>
      <c r="BM24" s="19" t="n"/>
      <c r="BN24" s="19" t="n"/>
      <c r="BO24" s="19" t="n"/>
      <c r="BP24" s="19" t="n"/>
      <c r="BQ24" s="19" t="n"/>
      <c r="BR24" s="19" t="n"/>
      <c r="BS24" s="19" t="n"/>
      <c r="BT24" s="19" t="n"/>
      <c r="BU24" s="19" t="n"/>
      <c r="BV24" s="19" t="n"/>
      <c r="BW24" s="19" t="n"/>
      <c r="BX24" s="19" t="n"/>
      <c r="BY24" s="19" t="n"/>
      <c r="BZ24" s="19" t="n"/>
      <c r="CA24" s="19" t="n"/>
      <c r="CB24" s="19" t="n"/>
      <c r="CC24" s="19" t="n"/>
      <c r="CD24" s="19" t="n"/>
      <c r="CE24" s="19" t="n"/>
      <c r="CF24" s="19" t="n"/>
      <c r="CG24" s="19" t="n"/>
      <c r="CH24" s="19" t="n"/>
      <c r="CI24" s="19" t="n"/>
      <c r="CJ24" s="19" t="n"/>
    </row>
    <row r="25" ht="15.75" customHeight="1">
      <c r="B25" s="17" t="inlineStr">
        <is>
          <t>IT</t>
        </is>
      </c>
      <c r="C25" s="21" t="n"/>
      <c r="D25" s="22" t="n"/>
      <c r="E25" s="21" t="n"/>
      <c r="F25" s="22" t="n"/>
      <c r="G25" s="21" t="n"/>
      <c r="H25" s="23" t="n"/>
      <c r="I25" s="24" t="n"/>
      <c r="J25" s="23" t="n"/>
      <c r="K25" s="24" t="n"/>
      <c r="L25" s="23" t="n"/>
      <c r="M25" s="24" t="n"/>
      <c r="N25" s="23" t="n"/>
      <c r="O25" s="24" t="n"/>
      <c r="P25" s="23" t="n"/>
      <c r="Q25" s="24" t="n"/>
      <c r="R25" s="23" t="n"/>
      <c r="S25" s="24" t="n"/>
      <c r="T25" s="23" t="n"/>
      <c r="U25" s="24" t="n"/>
      <c r="V25" s="23" t="n"/>
      <c r="W25" s="24" t="n"/>
      <c r="X25" s="19" t="n">
        <v>0.003917793895463467</v>
      </c>
      <c r="Y25" s="19" t="n">
        <v>0.006788279164729558</v>
      </c>
      <c r="Z25" s="19" t="n">
        <v>0.003818308400999939</v>
      </c>
      <c r="AA25" s="19" t="n">
        <v>0.008447930655727421</v>
      </c>
      <c r="AB25" s="19" t="n">
        <v>0.01086191727464194</v>
      </c>
      <c r="AC25" s="19" t="n">
        <v>0.007</v>
      </c>
      <c r="AD25" s="19" t="n">
        <v>0.029</v>
      </c>
      <c r="AE25" s="19" t="n">
        <v>0.016</v>
      </c>
      <c r="AF25" s="19" t="n">
        <v>0.02248242500158003</v>
      </c>
      <c r="AG25" s="19" t="n">
        <v>0.01230502786872668</v>
      </c>
      <c r="AH25" s="19" t="n">
        <v>0.01126058703986319</v>
      </c>
      <c r="AI25" s="19" t="n">
        <v>0.01028885168375766</v>
      </c>
      <c r="AJ25" s="19" t="n">
        <v>0.009498728542847884</v>
      </c>
      <c r="AK25" s="19" t="n">
        <v>0.01552964030655838</v>
      </c>
      <c r="AL25" s="19" t="n">
        <v>0.02075756896044981</v>
      </c>
      <c r="AM25" s="19" t="n">
        <v>0.01994001667158412</v>
      </c>
      <c r="AN25" s="19" t="n">
        <v>0.01659839438124308</v>
      </c>
      <c r="AO25" s="19" t="n">
        <v>0.01003882432955826</v>
      </c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19" t="n"/>
      <c r="BA25" s="19" t="n"/>
      <c r="BB25" s="19" t="n"/>
      <c r="BC25" s="19" t="n"/>
      <c r="BD25" s="19" t="n"/>
      <c r="BE25" s="19" t="n"/>
      <c r="BF25" s="19" t="n"/>
      <c r="BG25" s="19" t="n"/>
      <c r="BH25" s="19" t="n"/>
      <c r="BI25" s="19" t="n"/>
      <c r="BJ25" s="19" t="n"/>
      <c r="BK25" s="19" t="n"/>
      <c r="BL25" s="19" t="n"/>
      <c r="BM25" s="19" t="n"/>
      <c r="BN25" s="19" t="n"/>
      <c r="BO25" s="19" t="n"/>
      <c r="BP25" s="19" t="n"/>
      <c r="BQ25" s="19" t="n"/>
      <c r="BR25" s="19" t="n"/>
      <c r="BS25" s="19" t="n"/>
      <c r="BT25" s="19" t="n"/>
      <c r="BU25" s="19" t="n"/>
      <c r="BV25" s="19" t="n"/>
      <c r="BW25" s="19" t="n"/>
      <c r="BX25" s="19" t="n"/>
      <c r="BY25" s="19" t="n"/>
      <c r="BZ25" s="19" t="n"/>
      <c r="CA25" s="19" t="n"/>
      <c r="CB25" s="19" t="n"/>
      <c r="CC25" s="19" t="n"/>
      <c r="CD25" s="19" t="n"/>
      <c r="CE25" s="19" t="n"/>
      <c r="CF25" s="19" t="n"/>
      <c r="CG25" s="19" t="n"/>
      <c r="CH25" s="19" t="n"/>
      <c r="CI25" s="19" t="n"/>
      <c r="CJ25" s="19" t="n"/>
    </row>
    <row r="26" ht="15.75" customHeight="1">
      <c r="B26" s="25" t="inlineStr">
        <is>
          <t>ES</t>
        </is>
      </c>
      <c r="C26" s="21" t="n"/>
      <c r="D26" s="22" t="n"/>
      <c r="E26" s="21" t="n"/>
      <c r="F26" s="22" t="n"/>
      <c r="G26" s="21" t="n"/>
      <c r="H26" s="26" t="n"/>
      <c r="I26" s="27" t="n"/>
      <c r="J26" s="26" t="n"/>
      <c r="K26" s="27" t="n"/>
      <c r="L26" s="26" t="n"/>
      <c r="M26" s="27" t="n"/>
      <c r="N26" s="26" t="n"/>
      <c r="O26" s="27" t="n"/>
      <c r="P26" s="26" t="n"/>
      <c r="Q26" s="27" t="n"/>
      <c r="R26" s="26" t="n"/>
      <c r="S26" s="27" t="n"/>
      <c r="T26" s="26" t="n"/>
      <c r="U26" s="27" t="n"/>
      <c r="V26" s="26" t="n"/>
      <c r="W26" s="27" t="n"/>
      <c r="X26" s="19" t="n">
        <v>0.002811313848152777</v>
      </c>
      <c r="Y26" s="19" t="n">
        <v>0.005451284692011294</v>
      </c>
      <c r="Z26" s="19" t="n">
        <v>0.001339465363610233</v>
      </c>
      <c r="AA26" s="19" t="n">
        <v>0.004316355785226348</v>
      </c>
      <c r="AB26" s="19" t="n">
        <v>0.009405487464559194</v>
      </c>
      <c r="AC26" s="19" t="n">
        <v>0.007</v>
      </c>
      <c r="AD26" s="19" t="n">
        <v>0.02</v>
      </c>
      <c r="AE26" s="19" t="n">
        <v>0.014</v>
      </c>
      <c r="AF26" s="19" t="n">
        <v>0.01777423279790537</v>
      </c>
      <c r="AG26" s="19" t="n">
        <v>0.01042463473989901</v>
      </c>
      <c r="AH26" s="19" t="n">
        <v>0.008942237027629134</v>
      </c>
      <c r="AI26" s="19" t="n">
        <v>0.0237264824448784</v>
      </c>
      <c r="AJ26" s="19" t="n">
        <v>0.01832623394377489</v>
      </c>
      <c r="AK26" s="19" t="n">
        <v>0.02674918200975603</v>
      </c>
      <c r="AL26" s="19" t="n">
        <v>0.04455939628857696</v>
      </c>
      <c r="AM26" s="19" t="n">
        <v>0.03620417592093352</v>
      </c>
      <c r="AN26" s="19" t="n">
        <v>0.01612996154454373</v>
      </c>
      <c r="AO26" s="19" t="n">
        <v>0.01040225985509519</v>
      </c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19" t="n"/>
      <c r="BA26" s="19" t="n"/>
      <c r="BB26" s="19" t="n"/>
      <c r="BC26" s="19" t="n"/>
      <c r="BD26" s="19" t="n"/>
      <c r="BE26" s="19" t="n"/>
      <c r="BF26" s="19" t="n"/>
      <c r="BG26" s="19" t="n"/>
      <c r="BH26" s="19" t="n"/>
      <c r="BI26" s="19" t="n"/>
      <c r="BJ26" s="19" t="n"/>
      <c r="BK26" s="19" t="n"/>
      <c r="BL26" s="19" t="n"/>
      <c r="BM26" s="19" t="n"/>
      <c r="BN26" s="19" t="n"/>
      <c r="BO26" s="19" t="n"/>
      <c r="BP26" s="19" t="n"/>
      <c r="BQ26" s="19" t="n"/>
      <c r="BR26" s="19" t="n"/>
      <c r="BS26" s="19" t="n"/>
      <c r="BT26" s="19" t="n"/>
      <c r="BU26" s="19" t="n"/>
      <c r="BV26" s="19" t="n"/>
      <c r="BW26" s="19" t="n"/>
      <c r="BX26" s="19" t="n"/>
      <c r="BY26" s="19" t="n"/>
      <c r="BZ26" s="19" t="n"/>
      <c r="CA26" s="19" t="n"/>
      <c r="CB26" s="19" t="n"/>
      <c r="CC26" s="19" t="n"/>
      <c r="CD26" s="19" t="n"/>
      <c r="CE26" s="19" t="n"/>
      <c r="CF26" s="19" t="n"/>
      <c r="CG26" s="19" t="n"/>
      <c r="CH26" s="19" t="n"/>
      <c r="CI26" s="19" t="n"/>
      <c r="CJ26" s="19" t="n"/>
    </row>
    <row r="27" ht="15.75" customHeight="1">
      <c r="B27" s="28" t="inlineStr">
        <is>
          <t>EU5</t>
        </is>
      </c>
      <c r="C27" s="29">
        <f>SUMPRODUCT(C13:C17,C22:C26)/C18</f>
        <v/>
      </c>
      <c r="D27" s="29">
        <f>SUMPRODUCT(D13:D17,D22:D26)/D18</f>
        <v/>
      </c>
      <c r="E27" s="29">
        <f>SUMPRODUCT(E13:E17,E22:E26)/E18</f>
        <v/>
      </c>
      <c r="F27" s="29">
        <f>SUMPRODUCT(F13:F17,F22:F26)/F18</f>
        <v/>
      </c>
      <c r="G27" s="29">
        <f>SUMPRODUCT(G13:G17,G22:G26)/G18</f>
        <v/>
      </c>
      <c r="H27" s="29">
        <f>SUMPRODUCT(H13:H17,H22:H26)/H18</f>
        <v/>
      </c>
      <c r="I27" s="29">
        <f>SUMPRODUCT(I13:I17,I22:I26)/I18</f>
        <v/>
      </c>
      <c r="J27" s="29">
        <f>SUMPRODUCT(J13:J17,J22:J26)/J18</f>
        <v/>
      </c>
      <c r="K27" s="29">
        <f>SUMPRODUCT(K13:K17,K22:K26)/K18</f>
        <v/>
      </c>
      <c r="L27" s="29">
        <f>SUMPRODUCT(L13:L17,L22:L26)/L18</f>
        <v/>
      </c>
      <c r="M27" s="29">
        <f>SUMPRODUCT(M13:M17,M22:M26)/M18</f>
        <v/>
      </c>
      <c r="N27" s="29">
        <f>SUMPRODUCT(N13:N17,N22:N26)/N18</f>
        <v/>
      </c>
      <c r="O27" s="29">
        <f>SUMPRODUCT(O13:O17,O22:O26)/O18</f>
        <v/>
      </c>
      <c r="P27" s="29">
        <f>SUMPRODUCT(P13:P17,P22:P26)/P18</f>
        <v/>
      </c>
      <c r="Q27" s="29">
        <f>SUMPRODUCT(Q13:Q17,Q22:Q26)/Q18</f>
        <v/>
      </c>
      <c r="R27" s="29">
        <f>SUMPRODUCT(R13:R17,R22:R26)/R18</f>
        <v/>
      </c>
      <c r="S27" s="29">
        <f>SUMPRODUCT(S13:S17,S22:S26)/S18</f>
        <v/>
      </c>
      <c r="T27" s="29">
        <f>SUMPRODUCT(T13:T17,T22:T26)/T18</f>
        <v/>
      </c>
      <c r="U27" s="29">
        <f>SUMPRODUCT(U13:U17,U22:U26)/U18</f>
        <v/>
      </c>
      <c r="V27" s="29">
        <f>SUMPRODUCT(V13:V17,V22:V26)/V18</f>
        <v/>
      </c>
      <c r="W27" s="29">
        <f>SUMPRODUCT(W13:W17,W22:W26)/W18</f>
        <v/>
      </c>
      <c r="X27" s="19">
        <f>SUMPRODUCT(X13:X17,X22:X26)/X18</f>
        <v/>
      </c>
      <c r="Y27" s="19">
        <f>SUMPRODUCT(Y13:Y17,Y22:Y26)/Y18</f>
        <v/>
      </c>
      <c r="Z27" s="19">
        <f>SUMPRODUCT(Z13:Z17,Z22:Z26)/Z18</f>
        <v/>
      </c>
      <c r="AA27" s="19">
        <f>SUMPRODUCT(AA13:AA17,AA22:AA26)/AA18</f>
        <v/>
      </c>
      <c r="AB27" s="19">
        <f>SUMPRODUCT(AB13:AB17,AB22:AB26)/AB18</f>
        <v/>
      </c>
      <c r="AC27" s="19">
        <f>SUMPRODUCT(AC13:AC17,AC22:AC26)/AC18</f>
        <v/>
      </c>
      <c r="AD27" s="19">
        <f>SUMPRODUCT(AD13:AD17,AD22:AD26)/AD18</f>
        <v/>
      </c>
      <c r="AE27" s="20">
        <f>SUMPRODUCT(AE13:AE17,AE22:AE26)/AE18</f>
        <v/>
      </c>
      <c r="AF27" s="20">
        <f>SUMPRODUCT(AF13:AF17,AF22:AF26)/AF18</f>
        <v/>
      </c>
      <c r="AG27" s="20">
        <f>(AG22*AG13+AG23*AG14+AG24*AG15+AG25*AG16+AG26*AG17)/AG18</f>
        <v/>
      </c>
      <c r="AH27" s="20">
        <f>(AH22*AH13+AH23*AH14+AH24*AH15+AH25*AH16+AH26*AH17)/AH18</f>
        <v/>
      </c>
      <c r="AI27" s="20">
        <f>(AI22*AI13+AI23*AI14+AI24*AI15+AI25*AI16+AI26*AI17)/AI18</f>
        <v/>
      </c>
      <c r="AJ27" s="20">
        <f>(AJ22*AJ13+AJ23*AJ14+AJ24*AJ15+AJ25*AJ16+AJ26*AJ17)/AJ18</f>
        <v/>
      </c>
      <c r="AK27" s="20">
        <f>(AK22*AK13+AK23*AK14+AK24*AK15+AK25*AK16+AK26*AK17)/AK18</f>
        <v/>
      </c>
      <c r="AL27" s="20">
        <f>(AL22*AL13+AL23*AL14+AL24*AL15+AL25*AL16+AL26*AL17)/AL18</f>
        <v/>
      </c>
      <c r="AM27" s="19" t="n">
        <v>0.02458100821220771</v>
      </c>
      <c r="AN27" s="19" t="n">
        <v>0.01846569985290198</v>
      </c>
      <c r="AO27" s="20" t="n">
        <v>0.01300663504159168</v>
      </c>
      <c r="AP27" s="20" t="n"/>
      <c r="AQ27" s="20" t="n"/>
      <c r="AR27" s="19" t="n"/>
      <c r="AS27" s="19" t="n"/>
      <c r="AT27" s="19" t="n"/>
      <c r="AU27" s="19" t="n"/>
      <c r="AV27" s="19" t="n"/>
      <c r="AW27" s="19" t="n"/>
      <c r="AX27" s="19" t="n"/>
      <c r="AY27" s="20" t="n"/>
      <c r="AZ27" s="20" t="n"/>
      <c r="BA27" s="20" t="n"/>
      <c r="BB27" s="19" t="n"/>
      <c r="BC27" s="19" t="n"/>
      <c r="BD27" s="19" t="n"/>
      <c r="BE27" s="19" t="n"/>
      <c r="BF27" s="19" t="n"/>
      <c r="BG27" s="19" t="n"/>
      <c r="BH27" s="19" t="n"/>
      <c r="BI27" s="20" t="n"/>
      <c r="BJ27" s="20" t="n"/>
      <c r="BK27" s="20" t="n"/>
      <c r="BL27" s="19" t="n"/>
      <c r="BM27" s="19" t="n"/>
      <c r="BN27" s="19" t="n"/>
      <c r="BO27" s="19" t="n"/>
      <c r="BP27" s="19" t="n"/>
      <c r="BQ27" s="19" t="n"/>
      <c r="BR27" s="19" t="n"/>
      <c r="BS27" s="20" t="n"/>
      <c r="BT27" s="20" t="n"/>
      <c r="BU27" s="20" t="n"/>
      <c r="BV27" s="19" t="n"/>
      <c r="BW27" s="19" t="n"/>
      <c r="BX27" s="19" t="n"/>
      <c r="BY27" s="19" t="n"/>
      <c r="BZ27" s="19" t="n"/>
      <c r="CA27" s="19" t="n"/>
      <c r="CB27" s="19" t="n"/>
      <c r="CC27" s="20" t="n"/>
      <c r="CD27" s="20" t="n"/>
      <c r="CE27" s="20" t="n"/>
      <c r="CF27" s="19" t="n"/>
      <c r="CG27" s="19" t="n"/>
      <c r="CH27" s="19" t="n"/>
      <c r="CI27" s="19" t="n"/>
      <c r="CJ27" s="19" t="n"/>
    </row>
    <row r="30">
      <c r="B30" t="inlineStr">
        <is>
          <t>UPO</t>
        </is>
      </c>
    </row>
    <row r="31">
      <c r="B31" t="inlineStr">
        <is>
          <t>MP</t>
        </is>
      </c>
      <c r="C31" t="inlineStr">
        <is>
          <t>Wk19 2025</t>
        </is>
      </c>
      <c r="D31" t="inlineStr">
        <is>
          <t>Wk20 2025</t>
        </is>
      </c>
      <c r="E31" t="inlineStr">
        <is>
          <t>Wk21 2025</t>
        </is>
      </c>
      <c r="F31" t="inlineStr">
        <is>
          <t>Wk22 2025</t>
        </is>
      </c>
      <c r="G31" t="inlineStr">
        <is>
          <t>Wk23 2025</t>
        </is>
      </c>
      <c r="H31" t="inlineStr">
        <is>
          <t>Wk24 2025</t>
        </is>
      </c>
      <c r="I31" t="inlineStr">
        <is>
          <t>Wk25 2025</t>
        </is>
      </c>
      <c r="J31" t="inlineStr">
        <is>
          <t>Wk26 2025</t>
        </is>
      </c>
      <c r="K31" t="inlineStr">
        <is>
          <t>Wk27 2025</t>
        </is>
      </c>
      <c r="L31" t="inlineStr">
        <is>
          <t>Wk28 2025</t>
        </is>
      </c>
      <c r="M31" t="inlineStr">
        <is>
          <t>Wk29 2025</t>
        </is>
      </c>
      <c r="N31" t="inlineStr">
        <is>
          <t>Wk30 2025</t>
        </is>
      </c>
      <c r="O31" t="inlineStr">
        <is>
          <t>Wk31 2025</t>
        </is>
      </c>
      <c r="P31" t="inlineStr">
        <is>
          <t>Wk32 2025</t>
        </is>
      </c>
      <c r="Q31" t="inlineStr">
        <is>
          <t>Wk33 2025</t>
        </is>
      </c>
      <c r="R31" t="inlineStr">
        <is>
          <t>Wk34 2025</t>
        </is>
      </c>
      <c r="S31" t="inlineStr">
        <is>
          <t>Wk35 2025</t>
        </is>
      </c>
      <c r="T31" t="inlineStr">
        <is>
          <t>Wk36 2025</t>
        </is>
      </c>
      <c r="U31" t="inlineStr">
        <is>
          <t>Wk37 2025</t>
        </is>
      </c>
      <c r="V31" t="inlineStr">
        <is>
          <t>Wk38 2025</t>
        </is>
      </c>
      <c r="W31" t="inlineStr">
        <is>
          <t>Wk39 2025</t>
        </is>
      </c>
      <c r="X31" t="inlineStr">
        <is>
          <t>Wk40 2025</t>
        </is>
      </c>
      <c r="Y31" t="inlineStr">
        <is>
          <t>Wk41 2025</t>
        </is>
      </c>
      <c r="Z31" t="inlineStr">
        <is>
          <t>Wk42 2025</t>
        </is>
      </c>
      <c r="AA31" t="inlineStr">
        <is>
          <t>Wk43 2025</t>
        </is>
      </c>
      <c r="AB31" t="inlineStr">
        <is>
          <t>Wk44 2025</t>
        </is>
      </c>
      <c r="AC31" t="inlineStr">
        <is>
          <t>Wk45 2025</t>
        </is>
      </c>
      <c r="AD31" t="inlineStr">
        <is>
          <t>Wk46 2025</t>
        </is>
      </c>
      <c r="AE31" t="inlineStr">
        <is>
          <t>Wk47 2025</t>
        </is>
      </c>
      <c r="AF31" t="inlineStr">
        <is>
          <t>Wk48 2025</t>
        </is>
      </c>
      <c r="AG31" t="inlineStr">
        <is>
          <t>Wk49 2025</t>
        </is>
      </c>
      <c r="AH31" t="inlineStr">
        <is>
          <t>Wk50 2025</t>
        </is>
      </c>
      <c r="AI31" t="inlineStr">
        <is>
          <t>Wk51 2025</t>
        </is>
      </c>
      <c r="AJ31" t="inlineStr">
        <is>
          <t>Wk52 2025</t>
        </is>
      </c>
      <c r="AK31" t="inlineStr">
        <is>
          <t>Wk 1 2026</t>
        </is>
      </c>
      <c r="AL31" t="inlineStr">
        <is>
          <t>Wk 2 2026</t>
        </is>
      </c>
      <c r="AM31" t="inlineStr">
        <is>
          <t>Wk 3 2026</t>
        </is>
      </c>
      <c r="AN31" t="inlineStr">
        <is>
          <t>Wk 4 2026</t>
        </is>
      </c>
      <c r="AO31" t="inlineStr">
        <is>
          <t>Wk 5 2026</t>
        </is>
      </c>
      <c r="AP31" t="inlineStr">
        <is>
          <t>Wk 6 2026</t>
        </is>
      </c>
      <c r="AQ31" t="inlineStr">
        <is>
          <t>Wk 7 2026</t>
        </is>
      </c>
      <c r="AR31" t="inlineStr">
        <is>
          <t>Wk 8 2026</t>
        </is>
      </c>
      <c r="AS31" t="inlineStr">
        <is>
          <t>Wk 9 2026</t>
        </is>
      </c>
      <c r="AT31" t="inlineStr">
        <is>
          <t>Wk 10 2026</t>
        </is>
      </c>
      <c r="AU31" t="inlineStr">
        <is>
          <t>Wk 11 2026</t>
        </is>
      </c>
      <c r="AV31" t="inlineStr">
        <is>
          <t>Wk 12 2026</t>
        </is>
      </c>
      <c r="AW31" t="inlineStr">
        <is>
          <t>Wk 13 2026</t>
        </is>
      </c>
      <c r="AX31" t="inlineStr">
        <is>
          <t>Wk 14 2026</t>
        </is>
      </c>
      <c r="AY31" t="inlineStr">
        <is>
          <t>Wk 15 2026</t>
        </is>
      </c>
      <c r="AZ31" t="inlineStr">
        <is>
          <t>Wk 16 2026</t>
        </is>
      </c>
      <c r="BA31" t="inlineStr">
        <is>
          <t>Wk 17 2026</t>
        </is>
      </c>
      <c r="BB31" t="inlineStr">
        <is>
          <t>Wk 18 2026</t>
        </is>
      </c>
      <c r="BC31" t="inlineStr">
        <is>
          <t>Wk 19 2026</t>
        </is>
      </c>
      <c r="BD31" t="inlineStr">
        <is>
          <t>Wk 20 2026</t>
        </is>
      </c>
      <c r="BE31" t="inlineStr">
        <is>
          <t>Wk 21 2026</t>
        </is>
      </c>
      <c r="BF31" t="inlineStr">
        <is>
          <t>Wk 22 2026</t>
        </is>
      </c>
      <c r="BG31" t="inlineStr">
        <is>
          <t>Wk 23 2026</t>
        </is>
      </c>
      <c r="BH31" t="inlineStr">
        <is>
          <t>Wk 24 2026</t>
        </is>
      </c>
      <c r="BI31" t="inlineStr">
        <is>
          <t>Wk 25 2026</t>
        </is>
      </c>
      <c r="BJ31" t="inlineStr">
        <is>
          <t>Wk 26 2026</t>
        </is>
      </c>
      <c r="BK31" t="inlineStr">
        <is>
          <t>Wk 27 2026</t>
        </is>
      </c>
      <c r="BL31" t="inlineStr">
        <is>
          <t>Wk 28 2026</t>
        </is>
      </c>
      <c r="BM31" t="inlineStr">
        <is>
          <t>Wk 29 2026</t>
        </is>
      </c>
      <c r="BN31" t="inlineStr">
        <is>
          <t>Wk 30 2026</t>
        </is>
      </c>
      <c r="BO31" t="inlineStr">
        <is>
          <t>Wk 31 2026</t>
        </is>
      </c>
      <c r="BP31" t="inlineStr">
        <is>
          <t>Wk 32 2026</t>
        </is>
      </c>
      <c r="BQ31" t="inlineStr">
        <is>
          <t>Wk 33 2026</t>
        </is>
      </c>
      <c r="BR31" t="inlineStr">
        <is>
          <t>Wk 34 2026</t>
        </is>
      </c>
      <c r="BS31" t="inlineStr">
        <is>
          <t>Wk 35 2026</t>
        </is>
      </c>
      <c r="BT31" t="inlineStr">
        <is>
          <t>Wk 36 2026</t>
        </is>
      </c>
      <c r="BU31" t="inlineStr">
        <is>
          <t>Wk 37 2026</t>
        </is>
      </c>
      <c r="BV31" t="inlineStr">
        <is>
          <t>Wk 38 2026</t>
        </is>
      </c>
      <c r="BW31" t="inlineStr">
        <is>
          <t>Wk 39 2026</t>
        </is>
      </c>
      <c r="BX31" t="inlineStr">
        <is>
          <t>Wk 40 2026</t>
        </is>
      </c>
      <c r="BY31" t="inlineStr">
        <is>
          <t>Wk 41 2026</t>
        </is>
      </c>
      <c r="BZ31" t="inlineStr">
        <is>
          <t>Wk 42 2026</t>
        </is>
      </c>
      <c r="CA31" t="inlineStr">
        <is>
          <t>Wk 43 2026</t>
        </is>
      </c>
      <c r="CB31" t="inlineStr">
        <is>
          <t>Wk 44 2026</t>
        </is>
      </c>
      <c r="CC31" t="inlineStr">
        <is>
          <t>Wk 45 2026</t>
        </is>
      </c>
      <c r="CD31" t="inlineStr">
        <is>
          <t>Wk 46 2026</t>
        </is>
      </c>
      <c r="CE31" t="inlineStr">
        <is>
          <t>Wk 47 2026</t>
        </is>
      </c>
      <c r="CF31" t="inlineStr">
        <is>
          <t>Wk 48 2026</t>
        </is>
      </c>
      <c r="CG31" t="inlineStr">
        <is>
          <t>Wk 49 2026</t>
        </is>
      </c>
      <c r="CH31" t="inlineStr">
        <is>
          <t>Wk 50 2026</t>
        </is>
      </c>
      <c r="CI31" t="inlineStr">
        <is>
          <t>Wk 51 2026</t>
        </is>
      </c>
      <c r="CJ31" t="inlineStr">
        <is>
          <t>Wk 52 2026</t>
        </is>
      </c>
    </row>
    <row r="32" ht="15.75" customHeight="1">
      <c r="B32" s="4" t="inlineStr">
        <is>
          <t>UK</t>
        </is>
      </c>
      <c r="C32" s="30" t="n">
        <v>5.299645390070922</v>
      </c>
      <c r="D32" s="30" t="n">
        <v>4.986486486486487</v>
      </c>
      <c r="E32" s="30" t="n">
        <v>5.293103448275862</v>
      </c>
      <c r="F32" s="30" t="n">
        <v>7.80471615720524</v>
      </c>
      <c r="G32" s="30" t="n">
        <v>8.280021637216011</v>
      </c>
      <c r="H32" s="30" t="n">
        <v>5.452054794520548</v>
      </c>
      <c r="I32" s="30" t="n">
        <v>5.633815865662999</v>
      </c>
      <c r="J32" s="30" t="n">
        <v>5.128394103956555</v>
      </c>
      <c r="K32" s="30" t="n">
        <v>5.164274322169059</v>
      </c>
      <c r="L32" s="30" t="n">
        <v>5.303621169916434</v>
      </c>
      <c r="M32" s="30" t="n">
        <v>5.477428674611773</v>
      </c>
      <c r="N32" s="30" t="n">
        <v>6.034423676012461</v>
      </c>
      <c r="O32" s="30" t="n">
        <v>6.136709824828637</v>
      </c>
      <c r="P32" s="30" t="n">
        <v>10.81154910096819</v>
      </c>
      <c r="Q32" s="30" t="n">
        <v>12.52037094281298</v>
      </c>
      <c r="R32" s="30" t="n">
        <v>10.36632738817817</v>
      </c>
      <c r="S32" s="30" t="n">
        <v>7.096186015389763</v>
      </c>
      <c r="T32" s="30" t="n">
        <v>8.972098042238322</v>
      </c>
      <c r="U32" s="30" t="n">
        <v>9.870805185320432</v>
      </c>
      <c r="V32" s="30" t="n">
        <v>5.874138629914876</v>
      </c>
      <c r="W32" s="30" t="n">
        <v>6.727199601639407</v>
      </c>
      <c r="X32" s="31" t="n">
        <v>8.164757868157634</v>
      </c>
      <c r="Y32" s="31" t="n">
        <v>10.54897383747804</v>
      </c>
      <c r="Z32" s="31" t="n">
        <v>5.673358116480793</v>
      </c>
      <c r="AA32" s="31" t="n">
        <v>8.006284172406447</v>
      </c>
      <c r="AB32" s="31" t="n">
        <v>7.754902234247301</v>
      </c>
      <c r="AC32" s="31" t="n">
        <v>4.64</v>
      </c>
      <c r="AD32" s="31" t="n">
        <v>5.22</v>
      </c>
      <c r="AE32" s="32">
        <f>AE3/(AE13*AE22)</f>
        <v/>
      </c>
      <c r="AF32" s="32" t="n">
        <v>8.531476319999934</v>
      </c>
      <c r="AG32" s="31" t="n">
        <v>8.672018044835134</v>
      </c>
      <c r="AH32" s="32" t="n">
        <v>8.24777033615443</v>
      </c>
      <c r="AI32" s="31" t="n">
        <v>7.13982690239904</v>
      </c>
      <c r="AJ32" s="31" t="n">
        <v>7.001250676189247</v>
      </c>
      <c r="AK32" s="31" t="n">
        <v>6.893687533360643</v>
      </c>
      <c r="AL32" s="31" t="n">
        <v>7.50882272230227</v>
      </c>
      <c r="AM32" s="31" t="n">
        <v>7.377334368293686</v>
      </c>
      <c r="AN32" s="31" t="n">
        <v>6.872633136094675</v>
      </c>
      <c r="AO32" s="32" t="n">
        <v>6.999776623666722</v>
      </c>
      <c r="AP32" s="32" t="n"/>
      <c r="AQ32" s="31" t="n"/>
      <c r="AR32" s="31" t="n"/>
      <c r="AS32" s="31" t="n"/>
      <c r="AT32" s="31" t="n"/>
      <c r="AU32" s="31" t="n"/>
      <c r="AV32" s="31" t="n"/>
      <c r="AW32" s="31" t="n"/>
      <c r="AX32" s="31" t="n"/>
      <c r="AY32" s="32" t="n"/>
      <c r="AZ32" s="32" t="n"/>
      <c r="BA32" s="31" t="n"/>
      <c r="BB32" s="31" t="n"/>
      <c r="BC32" s="31" t="n"/>
      <c r="BD32" s="31" t="n"/>
      <c r="BE32" s="31" t="n"/>
      <c r="BF32" s="31" t="n"/>
      <c r="BG32" s="31" t="n"/>
      <c r="BH32" s="31" t="n"/>
      <c r="BI32" s="32" t="n"/>
      <c r="BJ32" s="32" t="n"/>
      <c r="BK32" s="31" t="n"/>
      <c r="BL32" s="31" t="n"/>
      <c r="BM32" s="31" t="n"/>
      <c r="BN32" s="31" t="n"/>
      <c r="BO32" s="31" t="n"/>
      <c r="BP32" s="31" t="n"/>
      <c r="BQ32" s="31" t="n"/>
      <c r="BR32" s="31" t="n"/>
      <c r="BS32" s="32" t="n"/>
      <c r="BT32" s="32" t="n"/>
      <c r="BU32" s="31" t="n"/>
      <c r="BV32" s="31" t="n"/>
      <c r="BW32" s="31" t="n"/>
      <c r="BX32" s="31" t="n"/>
      <c r="BY32" s="31" t="n"/>
      <c r="BZ32" s="31" t="n"/>
      <c r="CA32" s="31" t="n"/>
      <c r="CB32" s="31" t="n"/>
      <c r="CC32" s="32" t="n"/>
      <c r="CD32" s="32" t="n"/>
      <c r="CE32" s="31" t="n"/>
      <c r="CF32" s="31" t="n"/>
      <c r="CG32" s="31" t="n"/>
      <c r="CH32" s="31" t="n"/>
      <c r="CI32" s="31" t="n"/>
      <c r="CJ32" s="31" t="n"/>
    </row>
    <row r="33" ht="15.75" customHeight="1">
      <c r="B33" s="4" t="inlineStr">
        <is>
          <t>DE</t>
        </is>
      </c>
      <c r="C33" s="6" t="n"/>
      <c r="D33" s="7" t="n"/>
      <c r="E33" s="6" t="n"/>
      <c r="F33" s="7" t="n"/>
      <c r="G33" s="30" t="n">
        <v>4.792166266986411</v>
      </c>
      <c r="H33" s="30" t="n">
        <v>4.902197802197803</v>
      </c>
      <c r="I33" s="30" t="n">
        <v>6.449702863317126</v>
      </c>
      <c r="J33" s="30" t="n">
        <v>7.477798334875116</v>
      </c>
      <c r="K33" s="30" t="n">
        <v>5.490205926670015</v>
      </c>
      <c r="L33" s="30" t="n">
        <v>5.417107309486781</v>
      </c>
      <c r="M33" s="30" t="n">
        <v>5.261647409616101</v>
      </c>
      <c r="N33" s="30" t="n">
        <v>6.140009842519685</v>
      </c>
      <c r="O33" s="30" t="n">
        <v>6.294006784771956</v>
      </c>
      <c r="P33" s="30" t="n">
        <v>10.17749546279492</v>
      </c>
      <c r="Q33" s="30" t="n">
        <v>11.48460131117548</v>
      </c>
      <c r="R33" s="30" t="n">
        <v>9.321309090909091</v>
      </c>
      <c r="S33" s="30" t="n">
        <v>6.670314822321308</v>
      </c>
      <c r="T33" s="30" t="n">
        <v>14.29283649876135</v>
      </c>
      <c r="U33" s="30" t="n">
        <v>10.05072626956424</v>
      </c>
      <c r="V33" s="30" t="n">
        <v>5.886693273629904</v>
      </c>
      <c r="W33" s="30" t="n">
        <v>5.952981969486824</v>
      </c>
      <c r="X33" s="31" t="n">
        <v>7.255058746736292</v>
      </c>
      <c r="Y33" s="31" t="n">
        <v>10.66450462940041</v>
      </c>
      <c r="Z33" s="31" t="n">
        <v>5.280835802276625</v>
      </c>
      <c r="AA33" s="31" t="n">
        <v>7.641648310320743</v>
      </c>
      <c r="AB33" s="31" t="n">
        <v>7.553945187526501</v>
      </c>
      <c r="AC33" s="31" t="n">
        <v>4.12</v>
      </c>
      <c r="AD33" s="31" t="n">
        <v>3.46</v>
      </c>
      <c r="AE33" s="31">
        <f>AE4/(AE14*AE23)</f>
        <v/>
      </c>
      <c r="AF33" s="31" t="n">
        <v>4.926696851225822</v>
      </c>
      <c r="AG33" s="31" t="n">
        <v>4.55820053962673</v>
      </c>
      <c r="AH33" s="32" t="n">
        <v>4.281809995429228</v>
      </c>
      <c r="AI33" s="31" t="n">
        <v>3.886645019475232</v>
      </c>
      <c r="AJ33" s="31" t="n">
        <v>3.786826204886887</v>
      </c>
      <c r="AK33" s="31" t="n">
        <v>3.751126181758886</v>
      </c>
      <c r="AL33" s="31" t="n">
        <v>4.14392711266613</v>
      </c>
      <c r="AM33" s="31" t="n">
        <v>3.924032029191161</v>
      </c>
      <c r="AN33" s="31" t="n">
        <v>3.610469966629589</v>
      </c>
      <c r="AO33" s="31" t="n">
        <v>3.709786821705426</v>
      </c>
      <c r="AP33" s="31" t="n"/>
      <c r="AQ33" s="31" t="n"/>
      <c r="AR33" s="31" t="n"/>
      <c r="AS33" s="31" t="n"/>
      <c r="AT33" s="31" t="n"/>
      <c r="AU33" s="31" t="n"/>
      <c r="AV33" s="31" t="n"/>
      <c r="AW33" s="31" t="n"/>
      <c r="AX33" s="31" t="n"/>
      <c r="AY33" s="31" t="n"/>
      <c r="AZ33" s="31" t="n"/>
      <c r="BA33" s="31" t="n"/>
      <c r="BB33" s="31" t="n"/>
      <c r="BC33" s="31" t="n"/>
      <c r="BD33" s="31" t="n"/>
      <c r="BE33" s="31" t="n"/>
      <c r="BF33" s="31" t="n"/>
      <c r="BG33" s="31" t="n"/>
      <c r="BH33" s="31" t="n"/>
      <c r="BI33" s="31" t="n"/>
      <c r="BJ33" s="31" t="n"/>
      <c r="BK33" s="31" t="n"/>
      <c r="BL33" s="31" t="n"/>
      <c r="BM33" s="31" t="n"/>
      <c r="BN33" s="31" t="n"/>
      <c r="BO33" s="31" t="n"/>
      <c r="BP33" s="31" t="n"/>
      <c r="BQ33" s="31" t="n"/>
      <c r="BR33" s="31" t="n"/>
      <c r="BS33" s="31" t="n"/>
      <c r="BT33" s="31" t="n"/>
      <c r="BU33" s="31" t="n"/>
      <c r="BV33" s="31" t="n"/>
      <c r="BW33" s="31" t="n"/>
      <c r="BX33" s="31" t="n"/>
      <c r="BY33" s="31" t="n"/>
      <c r="BZ33" s="31" t="n"/>
      <c r="CA33" s="31" t="n"/>
      <c r="CB33" s="31" t="n"/>
      <c r="CC33" s="31" t="n"/>
      <c r="CD33" s="31" t="n"/>
      <c r="CE33" s="31" t="n"/>
      <c r="CF33" s="31" t="n"/>
      <c r="CG33" s="31" t="n"/>
      <c r="CH33" s="31" t="n"/>
      <c r="CI33" s="31" t="n"/>
      <c r="CJ33" s="31" t="n"/>
    </row>
    <row r="34" ht="15.75" customHeight="1">
      <c r="B34" s="4" t="inlineStr">
        <is>
          <t>FR</t>
        </is>
      </c>
      <c r="C34" s="6" t="n"/>
      <c r="D34" s="7" t="n"/>
      <c r="E34" s="6" t="n"/>
      <c r="F34" s="7" t="n"/>
      <c r="G34" s="6" t="n"/>
      <c r="H34" s="8" t="n"/>
      <c r="I34" s="9" t="n"/>
      <c r="J34" s="8" t="n"/>
      <c r="K34" s="9" t="n"/>
      <c r="L34" s="8" t="n"/>
      <c r="M34" s="9" t="n"/>
      <c r="N34" s="8" t="n"/>
      <c r="O34" s="9" t="n"/>
      <c r="P34" s="8" t="n"/>
      <c r="Q34" s="9" t="n"/>
      <c r="R34" s="8" t="n"/>
      <c r="S34" s="9" t="n"/>
      <c r="T34" s="8" t="n"/>
      <c r="U34" s="9" t="n"/>
      <c r="V34" s="8" t="n"/>
      <c r="W34" s="9" t="n"/>
      <c r="X34" s="31" t="n">
        <v>6.250657318141981</v>
      </c>
      <c r="Y34" s="31" t="n">
        <v>8.996976702827672</v>
      </c>
      <c r="Z34" s="31" t="n">
        <v>5.274924471299093</v>
      </c>
      <c r="AA34" s="31" t="n">
        <v>6.980066445182724</v>
      </c>
      <c r="AB34" s="31" t="n">
        <v>6.864282636794485</v>
      </c>
      <c r="AC34" s="31" t="n">
        <v>4.26</v>
      </c>
      <c r="AD34" s="31" t="n">
        <v>3.59</v>
      </c>
      <c r="AE34" s="31">
        <f>AE5/(AE15*AE24)</f>
        <v/>
      </c>
      <c r="AF34" s="31" t="n">
        <v>5.341987449113012</v>
      </c>
      <c r="AG34" s="31" t="n">
        <v>5.452453510787912</v>
      </c>
      <c r="AH34" s="32" t="n">
        <v>5.207318336276896</v>
      </c>
      <c r="AI34" s="31" t="n">
        <v>1.251370125461677</v>
      </c>
      <c r="AJ34" s="31" t="n">
        <v>3.808812701303011</v>
      </c>
      <c r="AK34" s="31" t="n">
        <v>3.779361287832717</v>
      </c>
      <c r="AL34" s="31" t="n">
        <v>4.372684543916872</v>
      </c>
      <c r="AM34" s="31" t="n">
        <v>4.166001773049645</v>
      </c>
      <c r="AN34" s="31" t="n">
        <v>3.921626016260162</v>
      </c>
      <c r="AO34" s="31" t="n">
        <v>4.040782493368701</v>
      </c>
      <c r="AP34" s="31" t="n"/>
      <c r="AQ34" s="31" t="n"/>
      <c r="AR34" s="31" t="n"/>
      <c r="AS34" s="31" t="n"/>
      <c r="AT34" s="31" t="n"/>
      <c r="AU34" s="31" t="n"/>
      <c r="AV34" s="31" t="n"/>
      <c r="AW34" s="31" t="n"/>
      <c r="AX34" s="31" t="n"/>
      <c r="AY34" s="31" t="n"/>
      <c r="AZ34" s="31" t="n"/>
      <c r="BA34" s="31" t="n"/>
      <c r="BB34" s="31" t="n"/>
      <c r="BC34" s="31" t="n"/>
      <c r="BD34" s="31" t="n"/>
      <c r="BE34" s="31" t="n"/>
      <c r="BF34" s="31" t="n"/>
      <c r="BG34" s="31" t="n"/>
      <c r="BH34" s="31" t="n"/>
      <c r="BI34" s="31" t="n"/>
      <c r="BJ34" s="31" t="n"/>
      <c r="BK34" s="31" t="n"/>
      <c r="BL34" s="31" t="n"/>
      <c r="BM34" s="31" t="n"/>
      <c r="BN34" s="31" t="n"/>
      <c r="BO34" s="31" t="n"/>
      <c r="BP34" s="31" t="n"/>
      <c r="BQ34" s="31" t="n"/>
      <c r="BR34" s="31" t="n"/>
      <c r="BS34" s="31" t="n"/>
      <c r="BT34" s="31" t="n"/>
      <c r="BU34" s="31" t="n"/>
      <c r="BV34" s="31" t="n"/>
      <c r="BW34" s="31" t="n"/>
      <c r="BX34" s="31" t="n"/>
      <c r="BY34" s="31" t="n"/>
      <c r="BZ34" s="31" t="n"/>
      <c r="CA34" s="31" t="n"/>
      <c r="CB34" s="31" t="n"/>
      <c r="CC34" s="31" t="n"/>
      <c r="CD34" s="31" t="n"/>
      <c r="CE34" s="31" t="n"/>
      <c r="CF34" s="31" t="n"/>
      <c r="CG34" s="31" t="n"/>
      <c r="CH34" s="31" t="n"/>
      <c r="CI34" s="31" t="n"/>
      <c r="CJ34" s="31" t="n"/>
    </row>
    <row r="35" ht="15.75" customHeight="1">
      <c r="B35" s="4" t="inlineStr">
        <is>
          <t>IT</t>
        </is>
      </c>
      <c r="C35" s="6" t="n"/>
      <c r="D35" s="7" t="n"/>
      <c r="E35" s="6" t="n"/>
      <c r="F35" s="7" t="n"/>
      <c r="G35" s="6" t="n"/>
      <c r="H35" s="8" t="n"/>
      <c r="I35" s="9" t="n"/>
      <c r="J35" s="8" t="n"/>
      <c r="K35" s="9" t="n"/>
      <c r="L35" s="8" t="n"/>
      <c r="M35" s="9" t="n"/>
      <c r="N35" s="8" t="n"/>
      <c r="O35" s="9" t="n"/>
      <c r="P35" s="8" t="n"/>
      <c r="Q35" s="9" t="n"/>
      <c r="R35" s="8" t="n"/>
      <c r="S35" s="9" t="n"/>
      <c r="T35" s="8" t="n"/>
      <c r="U35" s="9" t="n"/>
      <c r="V35" s="8" t="n"/>
      <c r="W35" s="9" t="n"/>
      <c r="X35" s="31" t="n">
        <v>6.595419847328245</v>
      </c>
      <c r="Y35" s="31" t="n">
        <v>8.98551245210728</v>
      </c>
      <c r="Z35" s="31" t="n">
        <v>5.660368445914029</v>
      </c>
      <c r="AA35" s="31" t="n">
        <v>6.165261170547514</v>
      </c>
      <c r="AB35" s="31" t="n">
        <v>6.292743592516492</v>
      </c>
      <c r="AC35" s="31" t="n">
        <v>4.75</v>
      </c>
      <c r="AD35" s="31" t="n">
        <v>5.43</v>
      </c>
      <c r="AE35" s="31">
        <f>AE6/(AE16*AE25)</f>
        <v/>
      </c>
      <c r="AF35" s="31" t="n">
        <v>10.11453812779641</v>
      </c>
      <c r="AG35" s="31" t="n">
        <v>9.478211315964108</v>
      </c>
      <c r="AH35" s="32" t="n">
        <v>8.806900882569551</v>
      </c>
      <c r="AI35" s="31" t="n">
        <v>7.908457942350579</v>
      </c>
      <c r="AJ35" s="31" t="n">
        <v>7.176444384422235</v>
      </c>
      <c r="AK35" s="31" t="n">
        <v>7.271322675097276</v>
      </c>
      <c r="AL35" s="31" t="n">
        <v>7.846315528413386</v>
      </c>
      <c r="AM35" s="31" t="n">
        <v>7.553799741416463</v>
      </c>
      <c r="AN35" s="31" t="n">
        <v>7.442241012227021</v>
      </c>
      <c r="AO35" s="31" t="n">
        <v>7.333443818362612</v>
      </c>
      <c r="AP35" s="31" t="n"/>
      <c r="AQ35" s="31" t="n"/>
      <c r="AR35" s="31" t="n"/>
      <c r="AS35" s="31" t="n"/>
      <c r="AT35" s="31" t="n"/>
      <c r="AU35" s="31" t="n"/>
      <c r="AV35" s="31" t="n"/>
      <c r="AW35" s="31" t="n"/>
      <c r="AX35" s="31" t="n"/>
      <c r="AY35" s="31" t="n"/>
      <c r="AZ35" s="31" t="n"/>
      <c r="BA35" s="31" t="n"/>
      <c r="BB35" s="31" t="n"/>
      <c r="BC35" s="31" t="n"/>
      <c r="BD35" s="31" t="n"/>
      <c r="BE35" s="31" t="n"/>
      <c r="BF35" s="31" t="n"/>
      <c r="BG35" s="31" t="n"/>
      <c r="BH35" s="31" t="n"/>
      <c r="BI35" s="31" t="n"/>
      <c r="BJ35" s="31" t="n"/>
      <c r="BK35" s="31" t="n"/>
      <c r="BL35" s="31" t="n"/>
      <c r="BM35" s="31" t="n"/>
      <c r="BN35" s="31" t="n"/>
      <c r="BO35" s="31" t="n"/>
      <c r="BP35" s="31" t="n"/>
      <c r="BQ35" s="31" t="n"/>
      <c r="BR35" s="31" t="n"/>
      <c r="BS35" s="31" t="n"/>
      <c r="BT35" s="31" t="n"/>
      <c r="BU35" s="31" t="n"/>
      <c r="BV35" s="31" t="n"/>
      <c r="BW35" s="31" t="n"/>
      <c r="BX35" s="31" t="n"/>
      <c r="BY35" s="31" t="n"/>
      <c r="BZ35" s="31" t="n"/>
      <c r="CA35" s="31" t="n"/>
      <c r="CB35" s="31" t="n"/>
      <c r="CC35" s="31" t="n"/>
      <c r="CD35" s="31" t="n"/>
      <c r="CE35" s="31" t="n"/>
      <c r="CF35" s="31" t="n"/>
      <c r="CG35" s="31" t="n"/>
      <c r="CH35" s="31" t="n"/>
      <c r="CI35" s="31" t="n"/>
      <c r="CJ35" s="31" t="n"/>
    </row>
    <row r="36" ht="15.75" customHeight="1">
      <c r="B36" s="10" t="inlineStr">
        <is>
          <t>ES</t>
        </is>
      </c>
      <c r="C36" s="6" t="n"/>
      <c r="D36" s="7" t="n"/>
      <c r="E36" s="6" t="n"/>
      <c r="F36" s="7" t="n"/>
      <c r="G36" s="6" t="n"/>
      <c r="H36" s="11" t="n"/>
      <c r="I36" s="12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31" t="n">
        <v>6.003519061583578</v>
      </c>
      <c r="Y36" s="31" t="n">
        <v>8.330211726384364</v>
      </c>
      <c r="Z36" s="31" t="n">
        <v>4.917024320457797</v>
      </c>
      <c r="AA36" s="31" t="n">
        <v>5.501845018450185</v>
      </c>
      <c r="AB36" s="31" t="n">
        <v>4.979586992641823</v>
      </c>
      <c r="AC36" s="31" t="n">
        <v>3.78</v>
      </c>
      <c r="AD36" s="31" t="n">
        <v>4.71</v>
      </c>
      <c r="AE36" s="31">
        <f>AE7/(AE17*AE26)</f>
        <v/>
      </c>
      <c r="AF36" s="31" t="n">
        <v>8.846159507865297</v>
      </c>
      <c r="AG36" s="31" t="n">
        <v>8.916674819628255</v>
      </c>
      <c r="AH36" s="32" t="n">
        <v>9.00872903050087</v>
      </c>
      <c r="AI36" s="31" t="n">
        <v>4.680876700443212</v>
      </c>
      <c r="AJ36" s="31" t="n">
        <v>4.553769836172483</v>
      </c>
      <c r="AK36" s="31" t="n">
        <v>4.178248364315898</v>
      </c>
      <c r="AL36" s="31" t="n">
        <v>4.205774189002278</v>
      </c>
      <c r="AM36" s="31" t="n">
        <v>4.806339663888509</v>
      </c>
      <c r="AN36" s="31" t="n">
        <v>7.04734762121903</v>
      </c>
      <c r="AO36" s="31" t="n">
        <v>6.980352932771308</v>
      </c>
      <c r="AP36" s="31" t="n"/>
      <c r="AQ36" s="31" t="n"/>
      <c r="AR36" s="31" t="n"/>
      <c r="AS36" s="31" t="n"/>
      <c r="AT36" s="31" t="n"/>
      <c r="AU36" s="31" t="n"/>
      <c r="AV36" s="31" t="n"/>
      <c r="AW36" s="31" t="n"/>
      <c r="AX36" s="31" t="n"/>
      <c r="AY36" s="31" t="n"/>
      <c r="AZ36" s="31" t="n"/>
      <c r="BA36" s="31" t="n"/>
      <c r="BB36" s="31" t="n"/>
      <c r="BC36" s="31" t="n"/>
      <c r="BD36" s="31" t="n"/>
      <c r="BE36" s="31" t="n"/>
      <c r="BF36" s="31" t="n"/>
      <c r="BG36" s="31" t="n"/>
      <c r="BH36" s="31" t="n"/>
      <c r="BI36" s="31" t="n"/>
      <c r="BJ36" s="31" t="n"/>
      <c r="BK36" s="31" t="n"/>
      <c r="BL36" s="31" t="n"/>
      <c r="BM36" s="31" t="n"/>
      <c r="BN36" s="31" t="n"/>
      <c r="BO36" s="31" t="n"/>
      <c r="BP36" s="31" t="n"/>
      <c r="BQ36" s="31" t="n"/>
      <c r="BR36" s="31" t="n"/>
      <c r="BS36" s="31" t="n"/>
      <c r="BT36" s="31" t="n"/>
      <c r="BU36" s="31" t="n"/>
      <c r="BV36" s="31" t="n"/>
      <c r="BW36" s="31" t="n"/>
      <c r="BX36" s="31" t="n"/>
      <c r="BY36" s="31" t="n"/>
      <c r="BZ36" s="31" t="n"/>
      <c r="CA36" s="31" t="n"/>
      <c r="CB36" s="31" t="n"/>
      <c r="CC36" s="31" t="n"/>
      <c r="CD36" s="31" t="n"/>
      <c r="CE36" s="31" t="n"/>
      <c r="CF36" s="31" t="n"/>
      <c r="CG36" s="31" t="n"/>
      <c r="CH36" s="31" t="n"/>
      <c r="CI36" s="31" t="n"/>
      <c r="CJ36" s="31" t="n"/>
    </row>
    <row r="37" ht="15.75" customHeight="1">
      <c r="B37" s="13" t="inlineStr">
        <is>
          <t>EU5</t>
        </is>
      </c>
      <c r="C37" s="33">
        <f>SUMPRODUCT(C13:C17,C32:C36)/C18</f>
        <v/>
      </c>
      <c r="D37" s="33">
        <f>SUMPRODUCT(D13:D17,D32:D36)/D18</f>
        <v/>
      </c>
      <c r="E37" s="33">
        <f>SUMPRODUCT(E13:E17,E32:E36)/E18</f>
        <v/>
      </c>
      <c r="F37" s="33">
        <f>SUMPRODUCT(F13:F17,F32:F36)/F18</f>
        <v/>
      </c>
      <c r="G37" s="33">
        <f>SUMPRODUCT(G13:G17,G32:G36)/G18</f>
        <v/>
      </c>
      <c r="H37" s="33">
        <f>SUMPRODUCT(H13:H17,H32:H36)/H18</f>
        <v/>
      </c>
      <c r="I37" s="33">
        <f>SUMPRODUCT(I13:I17,I32:I36)/I18</f>
        <v/>
      </c>
      <c r="J37" s="33">
        <f>SUMPRODUCT(J13:J17,J32:J36)/J18</f>
        <v/>
      </c>
      <c r="K37" s="33">
        <f>SUMPRODUCT(K13:K17,K32:K36)/K18</f>
        <v/>
      </c>
      <c r="L37" s="33">
        <f>SUMPRODUCT(L13:L17,L32:L36)/L18</f>
        <v/>
      </c>
      <c r="M37" s="33">
        <f>SUMPRODUCT(M13:M17,M32:M36)/M18</f>
        <v/>
      </c>
      <c r="N37" s="33">
        <f>SUMPRODUCT(N13:N17,N32:N36)/N18</f>
        <v/>
      </c>
      <c r="O37" s="33">
        <f>SUMPRODUCT(O13:O17,O32:O36)/O18</f>
        <v/>
      </c>
      <c r="P37" s="33">
        <f>SUMPRODUCT(P13:P17,P32:P36)/P18</f>
        <v/>
      </c>
      <c r="Q37" s="33">
        <f>SUMPRODUCT(Q13:Q17,Q32:Q36)/Q18</f>
        <v/>
      </c>
      <c r="R37" s="33">
        <f>SUMPRODUCT(R13:R17,R32:R36)/R18</f>
        <v/>
      </c>
      <c r="S37" s="33">
        <f>SUMPRODUCT(S13:S17,S32:S36)/S18</f>
        <v/>
      </c>
      <c r="T37" s="33">
        <f>SUMPRODUCT(T13:T17,T32:T36)/T18</f>
        <v/>
      </c>
      <c r="U37" s="33">
        <f>SUMPRODUCT(U13:U17,U32:U36)/U18</f>
        <v/>
      </c>
      <c r="V37" s="33">
        <f>SUMPRODUCT(V13:V17,V32:V36)/V18</f>
        <v/>
      </c>
      <c r="W37" s="33">
        <f>SUMPRODUCT(W13:W17,W32:W36)/W18</f>
        <v/>
      </c>
      <c r="X37" s="31">
        <f>SUMPRODUCT(X13:X17,X32:X36)/X18</f>
        <v/>
      </c>
      <c r="Y37" s="31">
        <f>SUMPRODUCT(Y13:Y17,Y32:Y36)/Y18</f>
        <v/>
      </c>
      <c r="Z37" s="31">
        <f>SUMPRODUCT(Z13:Z17,Z32:Z36)/Z18</f>
        <v/>
      </c>
      <c r="AA37" s="31">
        <f>SUMPRODUCT(AA13:AA17,AA32:AA36)/AA18</f>
        <v/>
      </c>
      <c r="AB37" s="31">
        <f>SUMPRODUCT(AB13:AB17,AB32:AB36)/AB18</f>
        <v/>
      </c>
      <c r="AC37" s="31">
        <f>SUMPRODUCT(AC13:AC17,AC32:AC36)/AC18</f>
        <v/>
      </c>
      <c r="AD37" s="31">
        <f>SUMPRODUCT(AD13:AD17,AD32:AD36)/AD18</f>
        <v/>
      </c>
      <c r="AE37" s="32">
        <f>AE8/(AE18*AE27)</f>
        <v/>
      </c>
      <c r="AF37" s="32">
        <f>AF8/(AF18*AF27)</f>
        <v/>
      </c>
      <c r="AG37" s="32">
        <f>AG8/(AG18*AG27)</f>
        <v/>
      </c>
      <c r="AH37" s="32">
        <f>AH8/(AH18*AH27)</f>
        <v/>
      </c>
      <c r="AI37" s="32">
        <f>AI8/(AI18*AI27)</f>
        <v/>
      </c>
      <c r="AJ37" s="32">
        <f>AJ8/(AJ18*AJ27)</f>
        <v/>
      </c>
      <c r="AK37" s="32">
        <f>AK8/(AK18*AK27)</f>
        <v/>
      </c>
      <c r="AL37" s="32">
        <f>AL8/(AL18*AL27)</f>
        <v/>
      </c>
      <c r="AM37" s="31" t="n">
        <v>5.998868742232562</v>
      </c>
      <c r="AN37" s="31" t="n">
        <v>6.324317304838231</v>
      </c>
      <c r="AO37" s="32" t="n">
        <v>6.306998010044537</v>
      </c>
      <c r="AP37" s="32" t="n"/>
      <c r="AQ37" s="32" t="n"/>
      <c r="AR37" s="31" t="n"/>
      <c r="AS37" s="31" t="n"/>
      <c r="AT37" s="31" t="n"/>
      <c r="AU37" s="31" t="n"/>
      <c r="AV37" s="31" t="n"/>
      <c r="AW37" s="31" t="n"/>
      <c r="AX37" s="31" t="n"/>
      <c r="AY37" s="32" t="n"/>
      <c r="AZ37" s="32" t="n"/>
      <c r="BA37" s="32" t="n"/>
      <c r="BB37" s="31" t="n"/>
      <c r="BC37" s="31" t="n"/>
      <c r="BD37" s="31" t="n"/>
      <c r="BE37" s="31" t="n"/>
      <c r="BF37" s="31" t="n"/>
      <c r="BG37" s="31" t="n"/>
      <c r="BH37" s="31" t="n"/>
      <c r="BI37" s="32" t="n"/>
      <c r="BJ37" s="32" t="n"/>
      <c r="BK37" s="32" t="n"/>
      <c r="BL37" s="31" t="n"/>
      <c r="BM37" s="31" t="n"/>
      <c r="BN37" s="31" t="n"/>
      <c r="BO37" s="31" t="n"/>
      <c r="BP37" s="31" t="n"/>
      <c r="BQ37" s="31" t="n"/>
      <c r="BR37" s="31" t="n"/>
      <c r="BS37" s="32" t="n"/>
      <c r="BT37" s="32" t="n"/>
      <c r="BU37" s="32" t="n"/>
      <c r="BV37" s="31" t="n"/>
      <c r="BW37" s="31" t="n"/>
      <c r="BX37" s="31" t="n"/>
      <c r="BY37" s="31" t="n"/>
      <c r="BZ37" s="31" t="n"/>
      <c r="CA37" s="31" t="n"/>
      <c r="CB37" s="31" t="n"/>
      <c r="CC37" s="32" t="n"/>
      <c r="CD37" s="32" t="n"/>
      <c r="CE37" s="32" t="n"/>
      <c r="CF37" s="31" t="n"/>
      <c r="CG37" s="31" t="n"/>
      <c r="CH37" s="31" t="n"/>
      <c r="CI37" s="31" t="n"/>
      <c r="CJ37" s="31" t="n"/>
    </row>
  </sheetData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J48"/>
  <sheetViews>
    <sheetView zoomScale="85" zoomScaleNormal="85" workbookViewId="0">
      <selection activeCell="AN26" sqref="AN26"/>
    </sheetView>
  </sheetViews>
  <sheetFormatPr baseColWidth="8" defaultRowHeight="15"/>
  <cols>
    <col width="6" bestFit="1" customWidth="1" min="2" max="2"/>
    <col width="14.42578125" customWidth="1" min="3" max="3"/>
    <col hidden="1" outlineLevel="1" width="10.42578125" customWidth="1" min="4" max="4"/>
    <col hidden="1" outlineLevel="1" width="12.5703125" customWidth="1" min="5" max="7"/>
    <col hidden="1" outlineLevel="1" width="11.7109375" customWidth="1" min="8" max="8"/>
    <col hidden="1" outlineLevel="1" width="12.5703125" customWidth="1" min="9" max="12"/>
    <col hidden="1" outlineLevel="1" width="11.7109375" customWidth="1" min="13" max="13"/>
    <col hidden="1" outlineLevel="1" width="11.42578125" customWidth="1" min="14" max="14"/>
    <col hidden="1" outlineLevel="1" width="13" customWidth="1" min="15" max="22"/>
    <col collapsed="1" width="9.140625" customWidth="1" min="23" max="23"/>
    <col width="12.85546875" bestFit="1" customWidth="1" min="24" max="25"/>
    <col width="11.5703125" bestFit="1" customWidth="1" min="26" max="29"/>
    <col width="12.85546875" bestFit="1" customWidth="1" min="30" max="30"/>
    <col width="11.5703125" bestFit="1" customWidth="1" min="31" max="37"/>
    <col width="13.7109375" customWidth="1" min="38" max="38"/>
    <col width="12.85546875" bestFit="1" customWidth="1" min="39" max="41"/>
    <col width="11.5703125" bestFit="1" customWidth="1" min="42" max="46"/>
  </cols>
  <sheetData>
    <row r="2">
      <c r="B2" t="inlineStr">
        <is>
          <t>Net Ordered Units</t>
        </is>
      </c>
    </row>
    <row r="3">
      <c r="B3" t="inlineStr">
        <is>
          <t>MP</t>
        </is>
      </c>
      <c r="C3" t="inlineStr">
        <is>
          <t>Wk19 2025</t>
        </is>
      </c>
      <c r="D3" t="inlineStr">
        <is>
          <t>Wk20 2025</t>
        </is>
      </c>
      <c r="E3" t="inlineStr">
        <is>
          <t>Wk21 2025</t>
        </is>
      </c>
      <c r="F3" t="inlineStr">
        <is>
          <t>Wk22 2025</t>
        </is>
      </c>
      <c r="G3" t="inlineStr">
        <is>
          <t>Wk23 2025</t>
        </is>
      </c>
      <c r="H3" t="inlineStr">
        <is>
          <t>Wk24 2025</t>
        </is>
      </c>
      <c r="I3" t="inlineStr">
        <is>
          <t>Wk25 2025</t>
        </is>
      </c>
      <c r="J3" t="inlineStr">
        <is>
          <t>Wk26 2025</t>
        </is>
      </c>
      <c r="K3" t="inlineStr">
        <is>
          <t>Wk27 2025</t>
        </is>
      </c>
      <c r="L3" t="inlineStr">
        <is>
          <t>Wk28 2025</t>
        </is>
      </c>
      <c r="M3" t="inlineStr">
        <is>
          <t>Wk29 2025</t>
        </is>
      </c>
      <c r="N3" t="inlineStr">
        <is>
          <t>Wk30 2025</t>
        </is>
      </c>
      <c r="O3" t="inlineStr">
        <is>
          <t>Wk31 2025</t>
        </is>
      </c>
      <c r="P3" t="inlineStr">
        <is>
          <t>Wk32 2025</t>
        </is>
      </c>
      <c r="Q3" t="inlineStr">
        <is>
          <t>Wk33 2025</t>
        </is>
      </c>
      <c r="R3" t="inlineStr">
        <is>
          <t>Wk34 2025</t>
        </is>
      </c>
      <c r="S3" t="inlineStr">
        <is>
          <t>Wk35 2025</t>
        </is>
      </c>
      <c r="T3" t="inlineStr">
        <is>
          <t>Wk36 2025</t>
        </is>
      </c>
      <c r="U3" t="inlineStr">
        <is>
          <t>Wk37 2025</t>
        </is>
      </c>
      <c r="V3" t="inlineStr">
        <is>
          <t>Wk38 2025</t>
        </is>
      </c>
      <c r="W3" t="inlineStr">
        <is>
          <t>Wk39 2025</t>
        </is>
      </c>
      <c r="X3" t="inlineStr">
        <is>
          <t>Wk40 2025</t>
        </is>
      </c>
      <c r="Y3" t="inlineStr">
        <is>
          <t>Wk41 2025</t>
        </is>
      </c>
      <c r="Z3" t="inlineStr">
        <is>
          <t>Wk42 2025</t>
        </is>
      </c>
      <c r="AA3" t="inlineStr">
        <is>
          <t>Wk43 2025</t>
        </is>
      </c>
      <c r="AB3" t="inlineStr">
        <is>
          <t>Wk44 2025</t>
        </is>
      </c>
      <c r="AC3" t="inlineStr">
        <is>
          <t>Wk45 2025</t>
        </is>
      </c>
      <c r="AD3" t="inlineStr">
        <is>
          <t>Wk46 2025</t>
        </is>
      </c>
      <c r="AE3" t="inlineStr">
        <is>
          <t>Wk47 2025</t>
        </is>
      </c>
      <c r="AF3" t="inlineStr">
        <is>
          <t>Wk48 2025</t>
        </is>
      </c>
      <c r="AG3" t="inlineStr">
        <is>
          <t>Wk49 2025</t>
        </is>
      </c>
      <c r="AH3" t="inlineStr">
        <is>
          <t>Wk50 2025</t>
        </is>
      </c>
      <c r="AI3" t="inlineStr">
        <is>
          <t>Wk51 2025</t>
        </is>
      </c>
      <c r="AJ3" t="inlineStr">
        <is>
          <t>Wk52 2025</t>
        </is>
      </c>
      <c r="AK3" t="inlineStr">
        <is>
          <t>Wk 1 2026</t>
        </is>
      </c>
      <c r="AL3" t="inlineStr">
        <is>
          <t>Wk 2 2026</t>
        </is>
      </c>
      <c r="AM3" t="inlineStr">
        <is>
          <t>Wk 3 2026</t>
        </is>
      </c>
      <c r="AN3" t="inlineStr">
        <is>
          <t>Wk 4 2026</t>
        </is>
      </c>
      <c r="AO3" t="inlineStr">
        <is>
          <t>Wk 5 2026</t>
        </is>
      </c>
      <c r="AP3" t="inlineStr">
        <is>
          <t>Wk 6 2026</t>
        </is>
      </c>
      <c r="AQ3" t="inlineStr">
        <is>
          <t>Wk 7 2026</t>
        </is>
      </c>
      <c r="AR3" t="inlineStr">
        <is>
          <t>Wk 8 2026</t>
        </is>
      </c>
      <c r="AS3" t="inlineStr">
        <is>
          <t>Wk 9 2026</t>
        </is>
      </c>
      <c r="AT3" t="inlineStr">
        <is>
          <t>Wk 10 2026</t>
        </is>
      </c>
      <c r="AU3" t="inlineStr">
        <is>
          <t>Wk 11 2026</t>
        </is>
      </c>
      <c r="AV3" t="inlineStr">
        <is>
          <t>Wk 12 2026</t>
        </is>
      </c>
      <c r="AW3" t="inlineStr">
        <is>
          <t>Wk 13 2026</t>
        </is>
      </c>
      <c r="AX3" t="inlineStr">
        <is>
          <t>Wk 14 2026</t>
        </is>
      </c>
      <c r="AY3" t="inlineStr">
        <is>
          <t>Wk 15 2026</t>
        </is>
      </c>
      <c r="AZ3" t="inlineStr">
        <is>
          <t>Wk 16 2026</t>
        </is>
      </c>
      <c r="BA3" t="inlineStr">
        <is>
          <t>Wk 17 2026</t>
        </is>
      </c>
      <c r="BB3" t="inlineStr">
        <is>
          <t>Wk 18 2026</t>
        </is>
      </c>
      <c r="BC3" t="inlineStr">
        <is>
          <t>Wk 19 2026</t>
        </is>
      </c>
      <c r="BD3" t="inlineStr">
        <is>
          <t>Wk 20 2026</t>
        </is>
      </c>
      <c r="BE3" t="inlineStr">
        <is>
          <t>Wk 21 2026</t>
        </is>
      </c>
      <c r="BF3" t="inlineStr">
        <is>
          <t>Wk 22 2026</t>
        </is>
      </c>
      <c r="BG3" t="inlineStr">
        <is>
          <t>Wk 23 2026</t>
        </is>
      </c>
      <c r="BH3" t="inlineStr">
        <is>
          <t>Wk 24 2026</t>
        </is>
      </c>
      <c r="BI3" t="inlineStr">
        <is>
          <t>Wk 25 2026</t>
        </is>
      </c>
      <c r="BJ3" t="inlineStr">
        <is>
          <t>Wk 26 2026</t>
        </is>
      </c>
      <c r="BK3" t="inlineStr">
        <is>
          <t>Wk 27 2026</t>
        </is>
      </c>
      <c r="BL3" t="inlineStr">
        <is>
          <t>Wk 28 2026</t>
        </is>
      </c>
      <c r="BM3" t="inlineStr">
        <is>
          <t>Wk 29 2026</t>
        </is>
      </c>
      <c r="BN3" t="inlineStr">
        <is>
          <t>Wk 30 2026</t>
        </is>
      </c>
      <c r="BO3" t="inlineStr">
        <is>
          <t>Wk 31 2026</t>
        </is>
      </c>
      <c r="BP3" t="inlineStr">
        <is>
          <t>Wk 32 2026</t>
        </is>
      </c>
      <c r="BQ3" t="inlineStr">
        <is>
          <t>Wk 33 2026</t>
        </is>
      </c>
      <c r="BR3" t="inlineStr">
        <is>
          <t>Wk 34 2026</t>
        </is>
      </c>
      <c r="BS3" t="inlineStr">
        <is>
          <t>Wk 35 2026</t>
        </is>
      </c>
      <c r="BT3" t="inlineStr">
        <is>
          <t>Wk 36 2026</t>
        </is>
      </c>
      <c r="BU3" t="inlineStr">
        <is>
          <t>Wk 37 2026</t>
        </is>
      </c>
      <c r="BV3" t="inlineStr">
        <is>
          <t>Wk 38 2026</t>
        </is>
      </c>
      <c r="BW3" t="inlineStr">
        <is>
          <t>Wk 39 2026</t>
        </is>
      </c>
      <c r="BX3" t="inlineStr">
        <is>
          <t>Wk 40 2026</t>
        </is>
      </c>
      <c r="BY3" t="inlineStr">
        <is>
          <t>Wk 41 2026</t>
        </is>
      </c>
      <c r="BZ3" t="inlineStr">
        <is>
          <t>Wk 42 2026</t>
        </is>
      </c>
      <c r="CA3" t="inlineStr">
        <is>
          <t>Wk 43 2026</t>
        </is>
      </c>
      <c r="CB3" t="inlineStr">
        <is>
          <t>Wk 44 2026</t>
        </is>
      </c>
      <c r="CC3" t="inlineStr">
        <is>
          <t>Wk 45 2026</t>
        </is>
      </c>
      <c r="CD3" t="inlineStr">
        <is>
          <t>Wk 46 2026</t>
        </is>
      </c>
      <c r="CE3" t="inlineStr">
        <is>
          <t>Wk 47 2026</t>
        </is>
      </c>
      <c r="CF3" t="inlineStr">
        <is>
          <t>Wk 48 2026</t>
        </is>
      </c>
      <c r="CG3" t="inlineStr">
        <is>
          <t>Wk 49 2026</t>
        </is>
      </c>
      <c r="CH3" t="inlineStr">
        <is>
          <t>Wk 50 2026</t>
        </is>
      </c>
      <c r="CI3" t="inlineStr">
        <is>
          <t>Wk 51 2026</t>
        </is>
      </c>
      <c r="CJ3" t="inlineStr">
        <is>
          <t>Wk 52 2026</t>
        </is>
      </c>
    </row>
    <row r="4" ht="15.75" customHeight="1">
      <c r="B4" t="inlineStr">
        <is>
          <t>UK</t>
        </is>
      </c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1">
        <f>Z15*Z26*Z37</f>
        <v/>
      </c>
      <c r="AA4" s="1">
        <f>AA15*AA26*AA37</f>
        <v/>
      </c>
      <c r="AB4" s="1">
        <f>AB15*AB26*AB37</f>
        <v/>
      </c>
      <c r="AC4" s="1">
        <f>AC15*AC26*AC37</f>
        <v/>
      </c>
      <c r="AD4" s="1">
        <f>AD15*AD26*AD37</f>
        <v/>
      </c>
      <c r="AE4" s="1">
        <f>AE15*AE26*AE37</f>
        <v/>
      </c>
      <c r="AF4" s="1">
        <f>AF15*AF26*AF37</f>
        <v/>
      </c>
      <c r="AG4" s="2">
        <f>AG15*AG26*AG37</f>
        <v/>
      </c>
      <c r="AH4" s="2">
        <f>AH15*AH26*AH37</f>
        <v/>
      </c>
      <c r="AI4" s="1">
        <f>AI15*AI26*AI37</f>
        <v/>
      </c>
      <c r="AJ4" s="1">
        <f>AJ15*AJ26*AJ37</f>
        <v/>
      </c>
      <c r="AK4" s="1">
        <f>AK15*AK26*AK37</f>
        <v/>
      </c>
      <c r="AL4" s="1">
        <f>AL15*AL26*AL37</f>
        <v/>
      </c>
      <c r="AM4" s="1">
        <f>AM15*AM26*AM37</f>
        <v/>
      </c>
      <c r="AN4" s="1">
        <f>AN15*AN26*AN37</f>
        <v/>
      </c>
      <c r="AO4" s="1">
        <f>AO15*AO26*AO37</f>
        <v/>
      </c>
      <c r="AP4" s="1">
        <f>AP15*AP26*AP37</f>
        <v/>
      </c>
      <c r="AQ4" s="1">
        <f>AQ15*AQ26*AQ37</f>
        <v/>
      </c>
      <c r="AR4" s="1">
        <f>AR15*AR26*AR37</f>
        <v/>
      </c>
      <c r="AS4" s="1">
        <f>AS15*AS26*AS37</f>
        <v/>
      </c>
      <c r="AT4" s="1">
        <f>AT15*AT26*AT37</f>
        <v/>
      </c>
      <c r="AU4" s="52" t="n"/>
      <c r="AV4" s="52" t="n"/>
      <c r="AW4" s="52" t="n"/>
      <c r="AX4" s="52" t="n"/>
      <c r="AY4" s="52" t="n"/>
      <c r="AZ4" s="52" t="n"/>
      <c r="BA4" s="52" t="n"/>
      <c r="BB4" s="52" t="n"/>
      <c r="BC4" s="52" t="n"/>
      <c r="BD4" s="52" t="n"/>
      <c r="BE4" s="52" t="n"/>
      <c r="BF4" s="52" t="n"/>
      <c r="BG4" s="52" t="n"/>
      <c r="BH4" s="52" t="n"/>
      <c r="BI4" s="52" t="n"/>
      <c r="BJ4" s="52" t="n"/>
      <c r="BK4" s="52" t="n"/>
      <c r="BL4" s="52" t="n"/>
      <c r="BM4" s="52" t="n"/>
      <c r="BN4" s="52" t="n"/>
      <c r="BO4" s="52" t="n"/>
      <c r="BP4" s="52" t="n"/>
      <c r="BQ4" s="52" t="n"/>
      <c r="BR4" s="52" t="n"/>
      <c r="BS4" s="52" t="n"/>
      <c r="BT4" s="52" t="n"/>
      <c r="BU4" s="52" t="n"/>
      <c r="BV4" s="52" t="n"/>
      <c r="BW4" s="52" t="n"/>
      <c r="BX4" s="52" t="n"/>
      <c r="BY4" s="52" t="n"/>
      <c r="BZ4" s="52" t="n"/>
      <c r="CA4" s="52" t="n"/>
      <c r="CB4" s="52" t="n"/>
      <c r="CC4" s="52" t="n"/>
      <c r="CD4" s="52" t="n"/>
      <c r="CE4" s="52" t="n"/>
      <c r="CF4" s="52" t="n"/>
      <c r="CG4" s="52" t="n"/>
      <c r="CH4" s="52" t="n"/>
      <c r="CI4" s="52" t="n"/>
      <c r="CJ4" s="52" t="n"/>
    </row>
    <row r="5" ht="15.75" customHeight="1">
      <c r="B5" t="inlineStr">
        <is>
          <t>DE</t>
        </is>
      </c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1">
        <f>Z16*Z27*Z38</f>
        <v/>
      </c>
      <c r="AA5" s="1">
        <f>AA16*AA27*AA38</f>
        <v/>
      </c>
      <c r="AB5" s="1">
        <f>AB16*AB27*AB38</f>
        <v/>
      </c>
      <c r="AC5" s="1">
        <f>AC16*AC27*AC38</f>
        <v/>
      </c>
      <c r="AD5" s="1">
        <f>AD16*AD27*AD38</f>
        <v/>
      </c>
      <c r="AE5" s="1">
        <f>AE16*AE27*AE38</f>
        <v/>
      </c>
      <c r="AF5" s="1">
        <f>AF16*AF27*AF38</f>
        <v/>
      </c>
      <c r="AG5" s="1">
        <f>AG16*AG27*AG38</f>
        <v/>
      </c>
      <c r="AH5" s="1">
        <f>AH16*AH27*AH38</f>
        <v/>
      </c>
      <c r="AI5" s="1">
        <f>AI16*AI27*AI38</f>
        <v/>
      </c>
      <c r="AJ5" s="1">
        <f>AJ16*AJ27*AJ38</f>
        <v/>
      </c>
      <c r="AK5" s="1">
        <f>AK16*AK27*AK38</f>
        <v/>
      </c>
      <c r="AL5" s="1">
        <f>AL16*AL27*AL38</f>
        <v/>
      </c>
      <c r="AM5" s="1">
        <f>AM16*AM27*AM38</f>
        <v/>
      </c>
      <c r="AN5" s="1">
        <f>AN16*AN27*AN38</f>
        <v/>
      </c>
      <c r="AO5" s="1">
        <f>AO16*AO27*AO38</f>
        <v/>
      </c>
      <c r="AP5" s="1">
        <f>AP16*AP27*AP38</f>
        <v/>
      </c>
      <c r="AQ5" s="1">
        <f>AQ16*AQ27*AQ38</f>
        <v/>
      </c>
      <c r="AR5" s="1">
        <f>AR16*AR27*AR38</f>
        <v/>
      </c>
      <c r="AS5" s="1">
        <f>AS16*AS27*AS38</f>
        <v/>
      </c>
      <c r="AT5" s="1">
        <f>AT16*AT27*AT38</f>
        <v/>
      </c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</row>
    <row r="6" ht="15.75" customHeight="1">
      <c r="B6" t="inlineStr">
        <is>
          <t>FR</t>
        </is>
      </c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1">
        <f>Z17*Z28*Z39</f>
        <v/>
      </c>
      <c r="AA6" s="1">
        <f>AA17*AA28*AA39</f>
        <v/>
      </c>
      <c r="AB6" s="1">
        <f>AB17*AB28*AB39</f>
        <v/>
      </c>
      <c r="AC6" s="1">
        <f>AC17*AC28*AC39</f>
        <v/>
      </c>
      <c r="AD6" s="1">
        <f>AD17*AD28*AD39</f>
        <v/>
      </c>
      <c r="AE6" s="1">
        <f>AE17*AE28*AE39</f>
        <v/>
      </c>
      <c r="AF6" s="1">
        <f>AF17*AF28*AF39</f>
        <v/>
      </c>
      <c r="AG6" s="1">
        <f>AG17*AG28*AG39</f>
        <v/>
      </c>
      <c r="AH6" s="1">
        <f>AH17*AH28*AH39</f>
        <v/>
      </c>
      <c r="AI6" s="1">
        <f>AI17*AI28*AI39</f>
        <v/>
      </c>
      <c r="AJ6" s="1">
        <f>AJ17*AJ28*AJ39</f>
        <v/>
      </c>
      <c r="AK6" s="1">
        <f>AK17*AK28*AK39</f>
        <v/>
      </c>
      <c r="AL6" s="1">
        <f>AL17*AL28*AL39</f>
        <v/>
      </c>
      <c r="AM6" s="1">
        <f>AM17*AM28*AM39</f>
        <v/>
      </c>
      <c r="AN6" s="1">
        <f>AN17*AN28*AN39</f>
        <v/>
      </c>
      <c r="AO6" s="1">
        <f>AO17*AO28*AO39</f>
        <v/>
      </c>
      <c r="AP6" s="1">
        <f>AP17*AP28*AP39</f>
        <v/>
      </c>
      <c r="AQ6" s="1">
        <f>AQ17*AQ28*AQ39</f>
        <v/>
      </c>
      <c r="AR6" s="1">
        <f>AR17*AR28*AR39</f>
        <v/>
      </c>
      <c r="AS6" s="1">
        <f>AS17*AS28*AS39</f>
        <v/>
      </c>
      <c r="AT6" s="1">
        <f>AT17*AT28*AT39</f>
        <v/>
      </c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</row>
    <row r="7" ht="15.75" customHeight="1">
      <c r="B7" t="inlineStr">
        <is>
          <t>IT</t>
        </is>
      </c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1">
        <f>Z18*Z29*Z40</f>
        <v/>
      </c>
      <c r="AA7" s="1">
        <f>AA18*AA29*AA40</f>
        <v/>
      </c>
      <c r="AB7" s="1">
        <f>AB18*AB29*AB40</f>
        <v/>
      </c>
      <c r="AC7" s="1">
        <f>AC18*AC29*AC40</f>
        <v/>
      </c>
      <c r="AD7" s="1">
        <f>AD18*AD29*AD40</f>
        <v/>
      </c>
      <c r="AE7" s="1">
        <f>AE18*AE29*AE40</f>
        <v/>
      </c>
      <c r="AF7" s="1">
        <f>AF18*AF29*AF40</f>
        <v/>
      </c>
      <c r="AG7" s="1">
        <f>AG18*AG29*AG40</f>
        <v/>
      </c>
      <c r="AH7" s="1">
        <f>AH18*AH29*AH40</f>
        <v/>
      </c>
      <c r="AI7" s="1">
        <f>AI18*AI29*AI40</f>
        <v/>
      </c>
      <c r="AJ7" s="1">
        <f>AJ18*AJ29*AJ40</f>
        <v/>
      </c>
      <c r="AK7" s="1">
        <f>AK18*AK29*AK40</f>
        <v/>
      </c>
      <c r="AL7" s="1">
        <f>AL18*AL29*AL40</f>
        <v/>
      </c>
      <c r="AM7" s="1">
        <f>AM18*AM29*AM40</f>
        <v/>
      </c>
      <c r="AN7" s="1">
        <f>AN18*AN29*AN40</f>
        <v/>
      </c>
      <c r="AO7" s="1">
        <f>AO18*AO29*AO40</f>
        <v/>
      </c>
      <c r="AP7" s="1">
        <f>AP18*AP29*AP40</f>
        <v/>
      </c>
      <c r="AQ7" s="1">
        <f>AQ18*AQ29*AQ40</f>
        <v/>
      </c>
      <c r="AR7" s="1">
        <f>AR18*AR29*AR40</f>
        <v/>
      </c>
      <c r="AS7" s="1">
        <f>AS18*AS29*AS40</f>
        <v/>
      </c>
      <c r="AT7" s="1">
        <f>AT18*AT29*AT40</f>
        <v/>
      </c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</row>
    <row r="8" ht="15.75" customHeight="1">
      <c r="B8" t="inlineStr">
        <is>
          <t>ES</t>
        </is>
      </c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1">
        <f>Z19*Z30*Z41</f>
        <v/>
      </c>
      <c r="AA8" s="1">
        <f>AA19*AA30*AA41</f>
        <v/>
      </c>
      <c r="AB8" s="1">
        <f>AB19*AB30*AB41</f>
        <v/>
      </c>
      <c r="AC8" s="1">
        <f>AC19*AC30*AC41</f>
        <v/>
      </c>
      <c r="AD8" s="1">
        <f>AD19*AD30*AD41</f>
        <v/>
      </c>
      <c r="AE8" s="1">
        <f>AE19*AE30*AE41</f>
        <v/>
      </c>
      <c r="AF8" s="1">
        <f>AF19*AF30*AF41</f>
        <v/>
      </c>
      <c r="AG8" s="1">
        <f>AG19*AG30*AG41</f>
        <v/>
      </c>
      <c r="AH8" s="1">
        <f>AH19*AH30*AH41</f>
        <v/>
      </c>
      <c r="AI8" s="1">
        <f>AI19*AI30*AI41</f>
        <v/>
      </c>
      <c r="AJ8" s="1">
        <f>AJ19*AJ30*AJ41</f>
        <v/>
      </c>
      <c r="AK8" s="1">
        <f>AK19*AK30*AK41</f>
        <v/>
      </c>
      <c r="AL8" s="1">
        <f>AL19*AL30*AL41</f>
        <v/>
      </c>
      <c r="AM8" s="1">
        <f>AM19*AM30*AM41</f>
        <v/>
      </c>
      <c r="AN8" s="1">
        <f>AN19*AN30*AN41</f>
        <v/>
      </c>
      <c r="AO8" s="1">
        <f>AO19*AO30*AO41</f>
        <v/>
      </c>
      <c r="AP8" s="1">
        <f>AP19*AP30*AP41</f>
        <v/>
      </c>
      <c r="AQ8" s="1">
        <f>AQ19*AQ30*AQ41</f>
        <v/>
      </c>
      <c r="AR8" s="1">
        <f>AR19*AR30*AR41</f>
        <v/>
      </c>
      <c r="AS8" s="1">
        <f>AS19*AS30*AS41</f>
        <v/>
      </c>
      <c r="AT8" s="1">
        <f>AT19*AT30*AT41</f>
        <v/>
      </c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2" t="n"/>
    </row>
    <row r="9" ht="15.75" customHeight="1">
      <c r="B9" s="3" t="inlineStr">
        <is>
          <t>EU5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1">
        <f>SUBTOTAL(109,Z4:Z8)</f>
        <v/>
      </c>
      <c r="AA9" s="1">
        <f>SUBTOTAL(109,AA4:AA8)</f>
        <v/>
      </c>
      <c r="AB9" s="1">
        <f>SUBTOTAL(109,AB4:AB8)</f>
        <v/>
      </c>
      <c r="AC9" s="1">
        <f>SUBTOTAL(109,AC4:AC8)</f>
        <v/>
      </c>
      <c r="AD9" s="1">
        <f>SUBTOTAL(109,AD4:AD8)</f>
        <v/>
      </c>
      <c r="AE9" s="1">
        <f>SUBTOTAL(109,AE4:AE8)</f>
        <v/>
      </c>
      <c r="AF9" s="1">
        <f>SUBTOTAL(109,AF4:AF8)</f>
        <v/>
      </c>
      <c r="AG9" s="1">
        <f>SUBTOTAL(109,AG4:AG8)</f>
        <v/>
      </c>
      <c r="AH9" s="1">
        <f>SUBTOTAL(109,AH4:AH8)</f>
        <v/>
      </c>
      <c r="AI9" s="1">
        <f>SUBTOTAL(109,AI4:AI8)</f>
        <v/>
      </c>
      <c r="AJ9" s="1">
        <f>SUBTOTAL(109,AJ4:AJ8)</f>
        <v/>
      </c>
      <c r="AK9" s="1">
        <f>SUBTOTAL(109,AK4:AK8)</f>
        <v/>
      </c>
      <c r="AL9" s="1">
        <f>SUBTOTAL(109,AL4:AL8)</f>
        <v/>
      </c>
      <c r="AM9" s="1">
        <f>SUBTOTAL(109,AM4:AM8)</f>
        <v/>
      </c>
      <c r="AN9" s="1">
        <f>SUBTOTAL(109,AN4:AN8)</f>
        <v/>
      </c>
      <c r="AO9" s="1">
        <f>SUBTOTAL(109,AO4:AO8)</f>
        <v/>
      </c>
      <c r="AP9" s="1">
        <f>SUBTOTAL(109,AP4:AP8)</f>
        <v/>
      </c>
      <c r="AQ9" s="1">
        <f>SUBTOTAL(109,AQ4:AQ8)</f>
        <v/>
      </c>
      <c r="AR9" s="1">
        <f>SUBTOTAL(109,AR4:AR8)</f>
        <v/>
      </c>
      <c r="AS9" s="1">
        <f>SUBTOTAL(109,AS4:AS8)</f>
        <v/>
      </c>
      <c r="AT9" s="1">
        <f>SUBTOTAL(109,AT4:AT8)</f>
        <v/>
      </c>
      <c r="AU9" s="51" t="n"/>
      <c r="AV9" s="51" t="n"/>
      <c r="AW9" s="51" t="n"/>
      <c r="AX9" s="51" t="n"/>
      <c r="AY9" s="51" t="n"/>
      <c r="AZ9" s="51" t="n"/>
      <c r="BA9" s="51" t="n"/>
      <c r="BB9" s="51" t="n"/>
      <c r="BC9" s="51" t="n"/>
      <c r="BD9" s="51" t="n"/>
      <c r="BE9" s="51" t="n"/>
      <c r="BF9" s="51" t="n"/>
      <c r="BG9" s="51" t="n"/>
      <c r="BH9" s="51" t="n"/>
      <c r="BI9" s="51" t="n"/>
      <c r="BJ9" s="51" t="n"/>
      <c r="BK9" s="51" t="n"/>
      <c r="BL9" s="51" t="n"/>
      <c r="BM9" s="51" t="n"/>
      <c r="BN9" s="51" t="n"/>
      <c r="BO9" s="51" t="n"/>
      <c r="BP9" s="51" t="n"/>
      <c r="BQ9" s="51" t="n"/>
      <c r="BR9" s="51" t="n"/>
      <c r="BS9" s="51" t="n"/>
      <c r="BT9" s="51" t="n"/>
      <c r="BU9" s="51" t="n"/>
      <c r="BV9" s="51" t="n"/>
      <c r="BW9" s="51" t="n"/>
      <c r="BX9" s="51" t="n"/>
      <c r="BY9" s="51" t="n"/>
      <c r="BZ9" s="51" t="n"/>
      <c r="CA9" s="51" t="n"/>
      <c r="CB9" s="51" t="n"/>
      <c r="CC9" s="51" t="n"/>
      <c r="CD9" s="51" t="n"/>
      <c r="CE9" s="51" t="n"/>
      <c r="CF9" s="51" t="n"/>
      <c r="CG9" s="51" t="n"/>
      <c r="CH9" s="51" t="n"/>
      <c r="CI9" s="51" t="n"/>
      <c r="CJ9" s="51" t="n"/>
    </row>
    <row r="11" ht="15.75" customHeight="1">
      <c r="W11" s="1" t="inlineStr">
        <is>
          <t>Actuals</t>
        </is>
      </c>
      <c r="X11" s="1" t="n">
        <v>317824</v>
      </c>
      <c r="Y11" s="1" t="n">
        <v>1033311</v>
      </c>
      <c r="Z11" s="1" t="n">
        <v>123200</v>
      </c>
      <c r="AA11" s="1" t="n">
        <v>449050</v>
      </c>
      <c r="AB11" s="1" t="n">
        <v>569093</v>
      </c>
      <c r="AC11" s="1" t="n">
        <v>162433</v>
      </c>
      <c r="AD11" s="2" t="n">
        <v>1864888</v>
      </c>
      <c r="AE11" s="1" t="n">
        <v>1000154</v>
      </c>
      <c r="AF11" s="1" t="n">
        <v>1266927</v>
      </c>
      <c r="AG11" s="1" t="n">
        <v>1071603</v>
      </c>
      <c r="AJ11" t="inlineStr">
        <is>
          <t>Pre Update</t>
        </is>
      </c>
      <c r="AK11" t="inlineStr">
        <is>
          <t>8.5MM</t>
        </is>
      </c>
      <c r="AL11" t="inlineStr">
        <is>
          <t>Post Update 20/01/2026</t>
        </is>
      </c>
      <c r="AM11" t="inlineStr">
        <is>
          <t>7.1MM</t>
        </is>
      </c>
    </row>
    <row r="13">
      <c r="B13" t="inlineStr">
        <is>
          <t>Transits</t>
        </is>
      </c>
    </row>
    <row r="14">
      <c r="B14" s="43" t="inlineStr">
        <is>
          <t>MP</t>
        </is>
      </c>
      <c r="C14" t="inlineStr">
        <is>
          <t>Wk19 2025</t>
        </is>
      </c>
      <c r="D14" t="inlineStr">
        <is>
          <t>Wk20 2025</t>
        </is>
      </c>
      <c r="E14" t="inlineStr">
        <is>
          <t>Wk21 2025</t>
        </is>
      </c>
      <c r="F14" t="inlineStr">
        <is>
          <t>Wk22 2025</t>
        </is>
      </c>
      <c r="G14" t="inlineStr">
        <is>
          <t>Wk23 2025</t>
        </is>
      </c>
      <c r="H14" t="inlineStr">
        <is>
          <t>Wk24 2025</t>
        </is>
      </c>
      <c r="I14" t="inlineStr">
        <is>
          <t>Wk25 2025</t>
        </is>
      </c>
      <c r="J14" t="inlineStr">
        <is>
          <t>Wk26 2025</t>
        </is>
      </c>
      <c r="K14" t="inlineStr">
        <is>
          <t>Wk27 2025</t>
        </is>
      </c>
      <c r="L14" t="inlineStr">
        <is>
          <t>Wk28 2025</t>
        </is>
      </c>
      <c r="M14" t="inlineStr">
        <is>
          <t>Wk29 2025</t>
        </is>
      </c>
      <c r="N14" t="inlineStr">
        <is>
          <t>Wk30 2025</t>
        </is>
      </c>
      <c r="O14" t="inlineStr">
        <is>
          <t>Wk31 2025</t>
        </is>
      </c>
      <c r="P14" t="inlineStr">
        <is>
          <t>Wk32 2025</t>
        </is>
      </c>
      <c r="Q14" t="inlineStr">
        <is>
          <t>Wk33 2025</t>
        </is>
      </c>
      <c r="R14" t="inlineStr">
        <is>
          <t>Wk34 2025</t>
        </is>
      </c>
      <c r="S14" t="inlineStr">
        <is>
          <t>Wk35 2025</t>
        </is>
      </c>
      <c r="T14" t="inlineStr">
        <is>
          <t>Wk36 2025</t>
        </is>
      </c>
      <c r="U14" t="inlineStr">
        <is>
          <t>Wk37 2025</t>
        </is>
      </c>
      <c r="V14" t="inlineStr">
        <is>
          <t>Wk38 2025</t>
        </is>
      </c>
      <c r="W14" t="inlineStr">
        <is>
          <t>Wk39 2025</t>
        </is>
      </c>
      <c r="X14" t="inlineStr">
        <is>
          <t>Wk40 2025</t>
        </is>
      </c>
      <c r="Y14" t="inlineStr">
        <is>
          <t>Wk41 2025</t>
        </is>
      </c>
      <c r="Z14" t="inlineStr">
        <is>
          <t>Wk42 2025</t>
        </is>
      </c>
      <c r="AA14" t="inlineStr">
        <is>
          <t>Wk43 2025</t>
        </is>
      </c>
      <c r="AB14" t="inlineStr">
        <is>
          <t>Wk44 2025</t>
        </is>
      </c>
      <c r="AC14" t="inlineStr">
        <is>
          <t>Wk45 2025</t>
        </is>
      </c>
      <c r="AD14" t="inlineStr">
        <is>
          <t>Wk46 2025</t>
        </is>
      </c>
      <c r="AE14" t="inlineStr">
        <is>
          <t>Wk47 2025</t>
        </is>
      </c>
      <c r="AF14" t="inlineStr">
        <is>
          <t>Wk48 2025</t>
        </is>
      </c>
      <c r="AG14" t="inlineStr">
        <is>
          <t>Wk49 2025</t>
        </is>
      </c>
      <c r="AH14" t="inlineStr">
        <is>
          <t>Wk50 2025</t>
        </is>
      </c>
      <c r="AI14" t="inlineStr">
        <is>
          <t>Wk51 2025</t>
        </is>
      </c>
      <c r="AJ14" t="inlineStr">
        <is>
          <t>Wk52 2025</t>
        </is>
      </c>
      <c r="AK14" t="inlineStr">
        <is>
          <t>Wk 1 2026</t>
        </is>
      </c>
      <c r="AL14" t="inlineStr">
        <is>
          <t>Wk 2 2026</t>
        </is>
      </c>
      <c r="AM14" t="inlineStr">
        <is>
          <t>Wk 3 2026</t>
        </is>
      </c>
      <c r="AN14" t="inlineStr">
        <is>
          <t>Wk 4 2026</t>
        </is>
      </c>
      <c r="AO14" t="inlineStr">
        <is>
          <t>Wk 5 2026</t>
        </is>
      </c>
      <c r="AP14" t="inlineStr">
        <is>
          <t>Wk 6 2026</t>
        </is>
      </c>
      <c r="AQ14" t="inlineStr">
        <is>
          <t>Wk 7 2026</t>
        </is>
      </c>
      <c r="AR14" t="inlineStr">
        <is>
          <t>Wk 8 2026</t>
        </is>
      </c>
      <c r="AS14" t="inlineStr">
        <is>
          <t>Wk 9 2026</t>
        </is>
      </c>
      <c r="AT14" t="inlineStr">
        <is>
          <t>Wk 10 2026</t>
        </is>
      </c>
      <c r="AU14" s="43" t="inlineStr">
        <is>
          <t>Wk 11 2026</t>
        </is>
      </c>
      <c r="AV14" s="43" t="inlineStr">
        <is>
          <t>Wk 12 2026</t>
        </is>
      </c>
      <c r="AW14" s="43" t="inlineStr">
        <is>
          <t>Wk 13 2026</t>
        </is>
      </c>
      <c r="AX14" s="43" t="inlineStr">
        <is>
          <t>Wk 14 2026</t>
        </is>
      </c>
      <c r="AY14" s="43" t="inlineStr">
        <is>
          <t>Wk 15 2026</t>
        </is>
      </c>
      <c r="AZ14" s="43" t="inlineStr">
        <is>
          <t>Wk 16 2026</t>
        </is>
      </c>
      <c r="BA14" s="43" t="inlineStr">
        <is>
          <t>Wk 17 2026</t>
        </is>
      </c>
      <c r="BB14" s="43" t="inlineStr">
        <is>
          <t>Wk 18 2026</t>
        </is>
      </c>
      <c r="BC14" s="43" t="inlineStr">
        <is>
          <t>Wk 19 2026</t>
        </is>
      </c>
      <c r="BD14" s="43" t="inlineStr">
        <is>
          <t>Wk 20 2026</t>
        </is>
      </c>
      <c r="BE14" s="43" t="inlineStr">
        <is>
          <t>Wk 21 2026</t>
        </is>
      </c>
      <c r="BF14" s="43" t="inlineStr">
        <is>
          <t>Wk 22 2026</t>
        </is>
      </c>
      <c r="BG14" s="43" t="inlineStr">
        <is>
          <t>Wk 23 2026</t>
        </is>
      </c>
      <c r="BH14" s="43" t="inlineStr">
        <is>
          <t>Wk 24 2026</t>
        </is>
      </c>
      <c r="BI14" s="43" t="inlineStr">
        <is>
          <t>Wk 25 2026</t>
        </is>
      </c>
      <c r="BJ14" s="43" t="inlineStr">
        <is>
          <t>Wk 26 2026</t>
        </is>
      </c>
      <c r="BK14" s="43" t="inlineStr">
        <is>
          <t>Wk 27 2026</t>
        </is>
      </c>
      <c r="BL14" s="43" t="inlineStr">
        <is>
          <t>Wk 28 2026</t>
        </is>
      </c>
      <c r="BM14" s="43" t="inlineStr">
        <is>
          <t>Wk 29 2026</t>
        </is>
      </c>
      <c r="BN14" s="43" t="inlineStr">
        <is>
          <t>Wk 30 2026</t>
        </is>
      </c>
      <c r="BO14" s="43" t="inlineStr">
        <is>
          <t>Wk 31 2026</t>
        </is>
      </c>
      <c r="BP14" s="43" t="inlineStr">
        <is>
          <t>Wk 32 2026</t>
        </is>
      </c>
      <c r="BQ14" s="43" t="inlineStr">
        <is>
          <t>Wk 33 2026</t>
        </is>
      </c>
      <c r="BR14" s="43" t="inlineStr">
        <is>
          <t>Wk 34 2026</t>
        </is>
      </c>
      <c r="BS14" s="43" t="inlineStr">
        <is>
          <t>Wk 35 2026</t>
        </is>
      </c>
      <c r="BT14" s="43" t="inlineStr">
        <is>
          <t>Wk 36 2026</t>
        </is>
      </c>
      <c r="BU14" s="43" t="inlineStr">
        <is>
          <t>Wk 37 2026</t>
        </is>
      </c>
      <c r="BV14" s="43" t="inlineStr">
        <is>
          <t>Wk 38 2026</t>
        </is>
      </c>
      <c r="BW14" s="43" t="inlineStr">
        <is>
          <t>Wk 39 2026</t>
        </is>
      </c>
      <c r="BX14" s="43" t="inlineStr">
        <is>
          <t>Wk 40 2026</t>
        </is>
      </c>
      <c r="BY14" s="43" t="inlineStr">
        <is>
          <t>Wk 41 2026</t>
        </is>
      </c>
      <c r="BZ14" s="43" t="inlineStr">
        <is>
          <t>Wk 42 2026</t>
        </is>
      </c>
      <c r="CA14" s="43" t="inlineStr">
        <is>
          <t>Wk 43 2026</t>
        </is>
      </c>
      <c r="CB14" s="43" t="inlineStr">
        <is>
          <t>Wk 44 2026</t>
        </is>
      </c>
      <c r="CC14" s="43" t="inlineStr">
        <is>
          <t>Wk 45 2026</t>
        </is>
      </c>
      <c r="CD14" s="43" t="inlineStr">
        <is>
          <t>Wk 46 2026</t>
        </is>
      </c>
      <c r="CE14" s="43" t="inlineStr">
        <is>
          <t>Wk 47 2026</t>
        </is>
      </c>
      <c r="CF14" s="43" t="inlineStr">
        <is>
          <t>Wk 48 2026</t>
        </is>
      </c>
      <c r="CG14" s="43" t="inlineStr">
        <is>
          <t>Wk 49 2026</t>
        </is>
      </c>
      <c r="CH14" s="43" t="inlineStr">
        <is>
          <t>Wk 50 2026</t>
        </is>
      </c>
      <c r="CI14" s="43" t="inlineStr">
        <is>
          <t>Wk 51 2026</t>
        </is>
      </c>
      <c r="CJ14" s="43" t="inlineStr">
        <is>
          <t>Wk 52 2026</t>
        </is>
      </c>
    </row>
    <row r="15" ht="15.75" customHeight="1">
      <c r="B15" s="9" t="inlineStr">
        <is>
          <t>UK</t>
        </is>
      </c>
      <c r="C15" s="37" t="n"/>
      <c r="D15" s="37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1" t="n">
        <v>775356</v>
      </c>
      <c r="AA15" s="1" t="n">
        <v>1003567.5</v>
      </c>
      <c r="AB15" s="1" t="n">
        <v>2226554.5</v>
      </c>
      <c r="AC15" s="1" t="n">
        <v>1004289.042980333</v>
      </c>
      <c r="AD15" s="1" t="n">
        <v>3506934.874085651</v>
      </c>
      <c r="AE15" s="1" t="n">
        <v>2773123.591688531</v>
      </c>
      <c r="AF15" s="1" t="n">
        <v>2540255.258355198</v>
      </c>
      <c r="AG15" s="2" t="n">
        <v>1105220.473060657</v>
      </c>
      <c r="AH15" s="2" t="n">
        <v>1676313.929177599</v>
      </c>
      <c r="AI15" s="1" t="n">
        <v>1539880.639173226</v>
      </c>
      <c r="AJ15" s="1" t="n">
        <v>1281266.132502187</v>
      </c>
      <c r="AK15" s="1" t="n">
        <v>1180637.688888889</v>
      </c>
      <c r="AL15" s="1" t="n">
        <v>1291804.555555556</v>
      </c>
      <c r="AM15" s="1" t="n">
        <v>1679645.922222222</v>
      </c>
      <c r="AN15" s="1" t="n">
        <v>1274522.355555556</v>
      </c>
      <c r="AO15" s="1" t="n">
        <v>1188530.422222222</v>
      </c>
      <c r="AP15" s="1" t="n">
        <v>1203106.722222222</v>
      </c>
      <c r="AQ15" s="1" t="n">
        <v>1200041.672222222</v>
      </c>
      <c r="AR15" s="1" t="n">
        <v>1413677.222222222</v>
      </c>
      <c r="AS15" s="2" t="n">
        <v>1181576.422222222</v>
      </c>
      <c r="AT15" s="2" t="n">
        <v>1221902.722222222</v>
      </c>
      <c r="AU15" s="50" t="n"/>
      <c r="AV15" s="50" t="n"/>
      <c r="AW15" s="50" t="n"/>
      <c r="AX15" s="50" t="n"/>
      <c r="AY15" s="50" t="n"/>
      <c r="AZ15" s="50" t="n"/>
      <c r="BA15" s="50" t="n"/>
      <c r="BB15" s="50" t="n"/>
      <c r="BC15" s="50" t="n"/>
      <c r="BD15" s="50" t="n"/>
      <c r="BE15" s="50" t="n"/>
      <c r="BF15" s="50" t="n"/>
      <c r="BG15" s="50" t="n"/>
      <c r="BH15" s="50" t="n"/>
      <c r="BI15" s="50" t="n"/>
      <c r="BJ15" s="50" t="n"/>
      <c r="BK15" s="50" t="n"/>
      <c r="BL15" s="50" t="n"/>
      <c r="BM15" s="50" t="n"/>
      <c r="BN15" s="50" t="n"/>
      <c r="BO15" s="50" t="n"/>
      <c r="BP15" s="50" t="n"/>
      <c r="BQ15" s="50" t="n"/>
      <c r="BR15" s="50" t="n"/>
      <c r="BS15" s="50" t="n"/>
      <c r="BT15" s="50" t="n"/>
      <c r="BU15" s="50" t="n"/>
      <c r="BV15" s="50" t="n"/>
      <c r="BW15" s="50" t="n"/>
      <c r="BX15" s="50" t="n"/>
      <c r="BY15" s="50" t="n"/>
      <c r="BZ15" s="50" t="n"/>
      <c r="CA15" s="50" t="n"/>
      <c r="CB15" s="50" t="n"/>
      <c r="CC15" s="50" t="n"/>
      <c r="CD15" s="50" t="n"/>
      <c r="CE15" s="50" t="n"/>
      <c r="CF15" s="50" t="n"/>
      <c r="CG15" s="50" t="n"/>
      <c r="CH15" s="50" t="n"/>
      <c r="CI15" s="50" t="n"/>
      <c r="CJ15" s="50" t="n"/>
    </row>
    <row r="16" ht="15.75" customHeight="1">
      <c r="B16" s="8" t="inlineStr">
        <is>
          <t>DE</t>
        </is>
      </c>
      <c r="C16" s="37" t="n"/>
      <c r="D16" s="37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1" t="n">
        <v>817784</v>
      </c>
      <c r="AA16" s="1" t="n">
        <v>1044744</v>
      </c>
      <c r="AB16" s="1" t="n">
        <v>2296362</v>
      </c>
      <c r="AC16" s="1" t="n">
        <v>1120294.758212391</v>
      </c>
      <c r="AD16" s="1" t="n">
        <v>3450420.133719912</v>
      </c>
      <c r="AE16" s="1" t="n">
        <v>2720762.921697278</v>
      </c>
      <c r="AF16" s="1" t="n">
        <v>2690073.921697278</v>
      </c>
      <c r="AG16" s="1" t="n">
        <v>1189007.055618254</v>
      </c>
      <c r="AH16" s="1" t="n">
        <v>1427300.560848639</v>
      </c>
      <c r="AI16" s="1" t="n">
        <v>1250817.421509183</v>
      </c>
      <c r="AJ16" s="1" t="n">
        <v>869031.6155030611</v>
      </c>
      <c r="AK16" s="1" t="n">
        <v>1474744.544444444</v>
      </c>
      <c r="AL16" s="1" t="n">
        <v>1629741.094444444</v>
      </c>
      <c r="AM16" s="1" t="n">
        <v>1821249.144444444</v>
      </c>
      <c r="AN16" s="1" t="n">
        <v>1636304.944444444</v>
      </c>
      <c r="AO16" s="1" t="n">
        <v>1044535.641884444</v>
      </c>
      <c r="AP16" s="1" t="n">
        <v>1075201.428744445</v>
      </c>
      <c r="AQ16" s="1" t="n">
        <v>967252.7004444444</v>
      </c>
      <c r="AR16" s="1" t="n">
        <v>1252894.520544444</v>
      </c>
      <c r="AS16" s="1" t="n">
        <v>1094551.771804444</v>
      </c>
      <c r="AT16" s="1" t="n">
        <v>1130369.354444445</v>
      </c>
      <c r="AU16" s="49" t="n"/>
      <c r="AV16" s="49" t="n"/>
      <c r="AW16" s="49" t="n"/>
      <c r="AX16" s="49" t="n"/>
      <c r="AY16" s="49" t="n"/>
      <c r="AZ16" s="49" t="n"/>
      <c r="BA16" s="49" t="n"/>
      <c r="BB16" s="49" t="n"/>
      <c r="BC16" s="49" t="n"/>
      <c r="BD16" s="49" t="n"/>
      <c r="BE16" s="49" t="n"/>
      <c r="BF16" s="49" t="n"/>
      <c r="BG16" s="49" t="n"/>
      <c r="BH16" s="49" t="n"/>
      <c r="BI16" s="49" t="n"/>
      <c r="BJ16" s="49" t="n"/>
      <c r="BK16" s="49" t="n"/>
      <c r="BL16" s="49" t="n"/>
      <c r="BM16" s="49" t="n"/>
      <c r="BN16" s="49" t="n"/>
      <c r="BO16" s="49" t="n"/>
      <c r="BP16" s="49" t="n"/>
      <c r="BQ16" s="49" t="n"/>
      <c r="BR16" s="49" t="n"/>
      <c r="BS16" s="49" t="n"/>
      <c r="BT16" s="49" t="n"/>
      <c r="BU16" s="49" t="n"/>
      <c r="BV16" s="49" t="n"/>
      <c r="BW16" s="49" t="n"/>
      <c r="BX16" s="49" t="n"/>
      <c r="BY16" s="49" t="n"/>
      <c r="BZ16" s="49" t="n"/>
      <c r="CA16" s="49" t="n"/>
      <c r="CB16" s="49" t="n"/>
      <c r="CC16" s="49" t="n"/>
      <c r="CD16" s="49" t="n"/>
      <c r="CE16" s="49" t="n"/>
      <c r="CF16" s="49" t="n"/>
      <c r="CG16" s="49" t="n"/>
      <c r="CH16" s="49" t="n"/>
      <c r="CI16" s="49" t="n"/>
      <c r="CJ16" s="49" t="n"/>
    </row>
    <row r="17" ht="15.75" customHeight="1">
      <c r="B17" s="9" t="inlineStr">
        <is>
          <t>FR</t>
        </is>
      </c>
      <c r="C17" s="37" t="n"/>
      <c r="D17" s="37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1" t="n">
        <v>165643</v>
      </c>
      <c r="AA17" s="1" t="n">
        <v>196947</v>
      </c>
      <c r="AB17" s="1" t="n">
        <v>508093.15</v>
      </c>
      <c r="AC17" s="1" t="n">
        <v>296697.080670397</v>
      </c>
      <c r="AD17" s="1" t="n">
        <v>1091904.60963426</v>
      </c>
      <c r="AE17" s="1" t="n">
        <v>785154.8133420793</v>
      </c>
      <c r="AF17" s="1" t="n">
        <v>626181.8133420793</v>
      </c>
      <c r="AG17" s="1" t="n">
        <v>372273.2825575963</v>
      </c>
      <c r="AH17" s="1" t="n">
        <v>397487.3483377063</v>
      </c>
      <c r="AI17" s="1" t="n">
        <v>330375.8656692904</v>
      </c>
      <c r="AJ17" s="1" t="n">
        <v>246849.7496675413</v>
      </c>
      <c r="AK17" s="1" t="n">
        <v>514037.9340399533</v>
      </c>
      <c r="AL17" s="1" t="n">
        <v>623192.4</v>
      </c>
      <c r="AM17" s="1" t="n">
        <v>579755.4</v>
      </c>
      <c r="AN17" s="1" t="n">
        <v>688695.54</v>
      </c>
      <c r="AO17" s="1" t="n">
        <v>476363.98688</v>
      </c>
      <c r="AP17" s="1" t="n">
        <v>532577.0263399533</v>
      </c>
      <c r="AQ17" s="1" t="n">
        <v>517392.1817999533</v>
      </c>
      <c r="AR17" s="1" t="n">
        <v>649247.9184399534</v>
      </c>
      <c r="AS17" s="1" t="n">
        <v>592436.3157999533</v>
      </c>
      <c r="AT17" s="1" t="n">
        <v>798470.8840399534</v>
      </c>
      <c r="AU17" s="49" t="n"/>
      <c r="AV17" s="49" t="n"/>
      <c r="AW17" s="49" t="n"/>
      <c r="AX17" s="49" t="n"/>
      <c r="AY17" s="49" t="n"/>
      <c r="AZ17" s="49" t="n"/>
      <c r="BA17" s="49" t="n"/>
      <c r="BB17" s="49" t="n"/>
      <c r="BC17" s="49" t="n"/>
      <c r="BD17" s="49" t="n"/>
      <c r="BE17" s="49" t="n"/>
      <c r="BF17" s="49" t="n"/>
      <c r="BG17" s="49" t="n"/>
      <c r="BH17" s="49" t="n"/>
      <c r="BI17" s="49" t="n"/>
      <c r="BJ17" s="49" t="n"/>
      <c r="BK17" s="49" t="n"/>
      <c r="BL17" s="49" t="n"/>
      <c r="BM17" s="49" t="n"/>
      <c r="BN17" s="49" t="n"/>
      <c r="BO17" s="49" t="n"/>
      <c r="BP17" s="49" t="n"/>
      <c r="BQ17" s="49" t="n"/>
      <c r="BR17" s="49" t="n"/>
      <c r="BS17" s="49" t="n"/>
      <c r="BT17" s="49" t="n"/>
      <c r="BU17" s="49" t="n"/>
      <c r="BV17" s="49" t="n"/>
      <c r="BW17" s="49" t="n"/>
      <c r="BX17" s="49" t="n"/>
      <c r="BY17" s="49" t="n"/>
      <c r="BZ17" s="49" t="n"/>
      <c r="CA17" s="49" t="n"/>
      <c r="CB17" s="49" t="n"/>
      <c r="CC17" s="49" t="n"/>
      <c r="CD17" s="49" t="n"/>
      <c r="CE17" s="49" t="n"/>
      <c r="CF17" s="49" t="n"/>
      <c r="CG17" s="49" t="n"/>
      <c r="CH17" s="49" t="n"/>
      <c r="CI17" s="49" t="n"/>
      <c r="CJ17" s="49" t="n"/>
    </row>
    <row r="18" ht="15.75" customHeight="1">
      <c r="B18" s="8" t="inlineStr">
        <is>
          <t>IT</t>
        </is>
      </c>
      <c r="C18" s="37" t="n"/>
      <c r="D18" s="37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1" t="n">
        <v>484866</v>
      </c>
      <c r="AA18" s="1" t="n">
        <v>605565</v>
      </c>
      <c r="AB18" s="1" t="n">
        <v>1318264.783333333</v>
      </c>
      <c r="AC18" s="1" t="n">
        <v>791192.2151210585</v>
      </c>
      <c r="AD18" s="1" t="n">
        <v>2382997.948825466</v>
      </c>
      <c r="AE18" s="1" t="n">
        <v>1854096.892353449</v>
      </c>
      <c r="AF18" s="1" t="n">
        <v>1628000.892353449</v>
      </c>
      <c r="AG18" s="1" t="n">
        <v>874848.6598824714</v>
      </c>
      <c r="AH18" s="1" t="n">
        <v>1295559.546176725</v>
      </c>
      <c r="AI18" s="1" t="n">
        <v>1164962.279372701</v>
      </c>
      <c r="AJ18" s="1" t="n">
        <v>956481.8292353449</v>
      </c>
      <c r="AK18" s="1" t="n">
        <v>1336375.990740987</v>
      </c>
      <c r="AL18" s="1" t="n">
        <v>1297357.166666667</v>
      </c>
      <c r="AM18" s="1" t="n">
        <v>1327321.9</v>
      </c>
      <c r="AN18" s="1" t="n">
        <v>1264565.946666667</v>
      </c>
      <c r="AO18" s="1" t="n">
        <v>850374.0003200001</v>
      </c>
      <c r="AP18" s="1" t="n">
        <v>990270.6885076532</v>
      </c>
      <c r="AQ18" s="1" t="n">
        <v>903844.8425276533</v>
      </c>
      <c r="AR18" s="1" t="n">
        <v>1154345.756107653</v>
      </c>
      <c r="AS18" s="1" t="n">
        <v>1025090.713887653</v>
      </c>
      <c r="AT18" s="1" t="n">
        <v>1200112.607407653</v>
      </c>
      <c r="AU18" s="49" t="n"/>
      <c r="AV18" s="49" t="n"/>
      <c r="AW18" s="49" t="n"/>
      <c r="AX18" s="49" t="n"/>
      <c r="AY18" s="49" t="n"/>
      <c r="AZ18" s="49" t="n"/>
      <c r="BA18" s="49" t="n"/>
      <c r="BB18" s="49" t="n"/>
      <c r="BC18" s="49" t="n"/>
      <c r="BD18" s="49" t="n"/>
      <c r="BE18" s="49" t="n"/>
      <c r="BF18" s="49" t="n"/>
      <c r="BG18" s="49" t="n"/>
      <c r="BH18" s="49" t="n"/>
      <c r="BI18" s="49" t="n"/>
      <c r="BJ18" s="49" t="n"/>
      <c r="BK18" s="49" t="n"/>
      <c r="BL18" s="49" t="n"/>
      <c r="BM18" s="49" t="n"/>
      <c r="BN18" s="49" t="n"/>
      <c r="BO18" s="49" t="n"/>
      <c r="BP18" s="49" t="n"/>
      <c r="BQ18" s="49" t="n"/>
      <c r="BR18" s="49" t="n"/>
      <c r="BS18" s="49" t="n"/>
      <c r="BT18" s="49" t="n"/>
      <c r="BU18" s="49" t="n"/>
      <c r="BV18" s="49" t="n"/>
      <c r="BW18" s="49" t="n"/>
      <c r="BX18" s="49" t="n"/>
      <c r="BY18" s="49" t="n"/>
      <c r="BZ18" s="49" t="n"/>
      <c r="CA18" s="49" t="n"/>
      <c r="CB18" s="49" t="n"/>
      <c r="CC18" s="49" t="n"/>
      <c r="CD18" s="49" t="n"/>
      <c r="CE18" s="49" t="n"/>
      <c r="CF18" s="49" t="n"/>
      <c r="CG18" s="49" t="n"/>
      <c r="CH18" s="49" t="n"/>
      <c r="CI18" s="49" t="n"/>
      <c r="CJ18" s="49" t="n"/>
    </row>
    <row r="19" ht="15.75" customHeight="1">
      <c r="B19" s="9" t="inlineStr">
        <is>
          <t>ES</t>
        </is>
      </c>
      <c r="C19" s="37" t="n"/>
      <c r="D19" s="37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1" t="n">
        <v>439948</v>
      </c>
      <c r="AA19" s="1" t="n">
        <v>625495.5</v>
      </c>
      <c r="AB19" s="1" t="n">
        <v>874610.7333333334</v>
      </c>
      <c r="AC19" s="1" t="n">
        <v>395596.1075605293</v>
      </c>
      <c r="AD19" s="1" t="n">
        <v>1281994.313410649</v>
      </c>
      <c r="AE19" s="1" t="n">
        <v>836092.1810061221</v>
      </c>
      <c r="AF19" s="1" t="n">
        <v>563557.1810061221</v>
      </c>
      <c r="AG19" s="1" t="n">
        <v>520116.0961236508</v>
      </c>
      <c r="AH19" s="1" t="n">
        <v>381824.7321697277</v>
      </c>
      <c r="AI19" s="1" t="n">
        <v>348784.9093018367</v>
      </c>
      <c r="AJ19" s="1" t="n">
        <v>289765.2531006122</v>
      </c>
      <c r="AK19" s="1" t="n">
        <v>825971.8905629701</v>
      </c>
      <c r="AL19" s="1" t="n">
        <v>960171.9</v>
      </c>
      <c r="AM19" s="1" t="n">
        <v>909213.55</v>
      </c>
      <c r="AN19" s="1" t="n">
        <v>947180.5900000001</v>
      </c>
      <c r="AO19" s="1" t="n">
        <v>600687.2169600001</v>
      </c>
      <c r="AP19" s="1" t="n">
        <v>748847.4248629701</v>
      </c>
      <c r="AQ19" s="1" t="n">
        <v>631752.2586429701</v>
      </c>
      <c r="AR19" s="1" t="n">
        <v>837467.34036297</v>
      </c>
      <c r="AS19" s="1" t="n">
        <v>673962.9813629701</v>
      </c>
      <c r="AT19" s="1" t="n">
        <v>859028.5405629701</v>
      </c>
      <c r="AU19" s="49" t="n"/>
      <c r="AV19" s="49" t="n"/>
      <c r="AW19" s="49" t="n"/>
      <c r="AX19" s="49" t="n"/>
      <c r="AY19" s="49" t="n"/>
      <c r="AZ19" s="49" t="n"/>
      <c r="BA19" s="49" t="n"/>
      <c r="BB19" s="49" t="n"/>
      <c r="BC19" s="49" t="n"/>
      <c r="BD19" s="49" t="n"/>
      <c r="BE19" s="49" t="n"/>
      <c r="BF19" s="49" t="n"/>
      <c r="BG19" s="49" t="n"/>
      <c r="BH19" s="49" t="n"/>
      <c r="BI19" s="49" t="n"/>
      <c r="BJ19" s="49" t="n"/>
      <c r="BK19" s="49" t="n"/>
      <c r="BL19" s="49" t="n"/>
      <c r="BM19" s="49" t="n"/>
      <c r="BN19" s="49" t="n"/>
      <c r="BO19" s="49" t="n"/>
      <c r="BP19" s="49" t="n"/>
      <c r="BQ19" s="49" t="n"/>
      <c r="BR19" s="49" t="n"/>
      <c r="BS19" s="49" t="n"/>
      <c r="BT19" s="49" t="n"/>
      <c r="BU19" s="49" t="n"/>
      <c r="BV19" s="49" t="n"/>
      <c r="BW19" s="49" t="n"/>
      <c r="BX19" s="49" t="n"/>
      <c r="BY19" s="49" t="n"/>
      <c r="BZ19" s="49" t="n"/>
      <c r="CA19" s="49" t="n"/>
      <c r="CB19" s="49" t="n"/>
      <c r="CC19" s="49" t="n"/>
      <c r="CD19" s="49" t="n"/>
      <c r="CE19" s="49" t="n"/>
      <c r="CF19" s="49" t="n"/>
      <c r="CG19" s="49" t="n"/>
      <c r="CH19" s="49" t="n"/>
      <c r="CI19" s="49" t="n"/>
      <c r="CJ19" s="49" t="n"/>
    </row>
    <row r="20" ht="15.75" customHeight="1">
      <c r="B20" s="40" t="inlineStr">
        <is>
          <t>EU5</t>
        </is>
      </c>
      <c r="C20" s="37" t="n"/>
      <c r="D20" s="37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1">
        <f>SUM(Z15:Z19)</f>
        <v/>
      </c>
      <c r="AA20" s="1">
        <f>SUM(AA15:AA19)</f>
        <v/>
      </c>
      <c r="AB20" s="1">
        <f>SUM(AB15:AB19)</f>
        <v/>
      </c>
      <c r="AC20" s="1">
        <f>SUM(AC15:AC19)</f>
        <v/>
      </c>
      <c r="AD20" s="1">
        <f>SUM(AD15:AD19)</f>
        <v/>
      </c>
      <c r="AE20" s="1">
        <f>SUM(AE15:AE19)</f>
        <v/>
      </c>
      <c r="AF20" s="1">
        <f>SUM(AF15:AF19)</f>
        <v/>
      </c>
      <c r="AG20" s="2">
        <f>SUM(AG15:AG19)</f>
        <v/>
      </c>
      <c r="AH20" s="2">
        <f>SUM(AH15:AH19)</f>
        <v/>
      </c>
      <c r="AI20" s="1">
        <f>SUM(AI15:AI19)</f>
        <v/>
      </c>
      <c r="AJ20" s="1">
        <f>SUM(AJ15:AJ19)</f>
        <v/>
      </c>
      <c r="AK20" s="1">
        <f>SUM(AK15:AK19)</f>
        <v/>
      </c>
      <c r="AL20" s="1">
        <f>SUM(AL15:AL19)</f>
        <v/>
      </c>
      <c r="AM20" s="1">
        <f>SUM(AM15:AM19)</f>
        <v/>
      </c>
      <c r="AN20" s="1">
        <f>SUM(AN15:AN19)</f>
        <v/>
      </c>
      <c r="AO20" s="1">
        <f>SUM(AO15:AO19)</f>
        <v/>
      </c>
      <c r="AP20" s="1">
        <f>SUM(AP15:AP19)</f>
        <v/>
      </c>
      <c r="AQ20" s="1">
        <f>SUM(AQ15:AQ19)</f>
        <v/>
      </c>
      <c r="AR20" s="1">
        <f>SUM(AR15:AR19)</f>
        <v/>
      </c>
      <c r="AS20" s="2">
        <f>SUM(AS15:AS19)</f>
        <v/>
      </c>
      <c r="AT20" s="2">
        <f>SUM(AT15:AT19)</f>
        <v/>
      </c>
      <c r="AU20" s="48" t="n"/>
      <c r="AV20" s="48" t="n"/>
      <c r="AW20" s="48" t="n"/>
      <c r="AX20" s="48" t="n"/>
      <c r="AY20" s="48" t="n"/>
      <c r="AZ20" s="48" t="n"/>
      <c r="BA20" s="48" t="n"/>
      <c r="BB20" s="48" t="n"/>
      <c r="BC20" s="48" t="n"/>
      <c r="BD20" s="48" t="n"/>
      <c r="BE20" s="48" t="n"/>
      <c r="BF20" s="48" t="n"/>
      <c r="BG20" s="48" t="n"/>
      <c r="BH20" s="48" t="n"/>
      <c r="BI20" s="48" t="n"/>
      <c r="BJ20" s="48" t="n"/>
      <c r="BK20" s="48" t="n"/>
      <c r="BL20" s="48" t="n"/>
      <c r="BM20" s="48" t="n"/>
      <c r="BN20" s="48" t="n"/>
      <c r="BO20" s="48" t="n"/>
      <c r="BP20" s="48" t="n"/>
      <c r="BQ20" s="48" t="n"/>
      <c r="BR20" s="48" t="n"/>
      <c r="BS20" s="48" t="n"/>
      <c r="BT20" s="48" t="n"/>
      <c r="BU20" s="48" t="n"/>
      <c r="BV20" s="48" t="n"/>
      <c r="BW20" s="48" t="n"/>
      <c r="BX20" s="48" t="n"/>
      <c r="BY20" s="48" t="n"/>
      <c r="BZ20" s="48" t="n"/>
      <c r="CA20" s="48" t="n"/>
      <c r="CB20" s="48" t="n"/>
      <c r="CC20" s="48" t="n"/>
      <c r="CD20" s="48" t="n"/>
      <c r="CE20" s="48" t="n"/>
      <c r="CF20" s="48" t="n"/>
      <c r="CG20" s="48" t="n"/>
      <c r="CH20" s="48" t="n"/>
      <c r="CI20" s="48" t="n"/>
      <c r="CJ20" s="48" t="n"/>
    </row>
    <row r="24">
      <c r="B24" t="inlineStr">
        <is>
          <t>CVR</t>
        </is>
      </c>
    </row>
    <row r="25">
      <c r="B25" s="43" t="inlineStr">
        <is>
          <t>MP</t>
        </is>
      </c>
      <c r="C25" t="inlineStr">
        <is>
          <t>Wk19 2025</t>
        </is>
      </c>
      <c r="D25" t="inlineStr">
        <is>
          <t>Wk20 2025</t>
        </is>
      </c>
      <c r="E25" t="inlineStr">
        <is>
          <t>Wk21 2025</t>
        </is>
      </c>
      <c r="F25" t="inlineStr">
        <is>
          <t>Wk22 2025</t>
        </is>
      </c>
      <c r="G25" t="inlineStr">
        <is>
          <t>Wk23 2025</t>
        </is>
      </c>
      <c r="H25" t="inlineStr">
        <is>
          <t>Wk24 2025</t>
        </is>
      </c>
      <c r="I25" t="inlineStr">
        <is>
          <t>Wk25 2025</t>
        </is>
      </c>
      <c r="J25" t="inlineStr">
        <is>
          <t>Wk26 2025</t>
        </is>
      </c>
      <c r="K25" t="inlineStr">
        <is>
          <t>Wk27 2025</t>
        </is>
      </c>
      <c r="L25" t="inlineStr">
        <is>
          <t>Wk28 2025</t>
        </is>
      </c>
      <c r="M25" t="inlineStr">
        <is>
          <t>Wk29 2025</t>
        </is>
      </c>
      <c r="N25" t="inlineStr">
        <is>
          <t>Wk30 2025</t>
        </is>
      </c>
      <c r="O25" t="inlineStr">
        <is>
          <t>Wk31 2025</t>
        </is>
      </c>
      <c r="P25" t="inlineStr">
        <is>
          <t>Wk32 2025</t>
        </is>
      </c>
      <c r="Q25" t="inlineStr">
        <is>
          <t>Wk33 2025</t>
        </is>
      </c>
      <c r="R25" t="inlineStr">
        <is>
          <t>Wk34 2025</t>
        </is>
      </c>
      <c r="S25" t="inlineStr">
        <is>
          <t>Wk35 2025</t>
        </is>
      </c>
      <c r="T25" t="inlineStr">
        <is>
          <t>Wk36 2025</t>
        </is>
      </c>
      <c r="U25" t="inlineStr">
        <is>
          <t>Wk37 2025</t>
        </is>
      </c>
      <c r="V25" t="inlineStr">
        <is>
          <t>Wk38 2025</t>
        </is>
      </c>
      <c r="W25" t="inlineStr">
        <is>
          <t>Wk39 2025</t>
        </is>
      </c>
      <c r="X25" t="inlineStr">
        <is>
          <t>Wk40 2025</t>
        </is>
      </c>
      <c r="Y25" t="inlineStr">
        <is>
          <t>Wk41 2025</t>
        </is>
      </c>
      <c r="Z25" t="inlineStr">
        <is>
          <t>Wk42 2025</t>
        </is>
      </c>
      <c r="AA25" t="inlineStr">
        <is>
          <t>Wk43 2025</t>
        </is>
      </c>
      <c r="AB25" t="inlineStr">
        <is>
          <t>Wk44 2025</t>
        </is>
      </c>
      <c r="AC25" t="inlineStr">
        <is>
          <t>Wk45 2025</t>
        </is>
      </c>
      <c r="AD25" t="inlineStr">
        <is>
          <t>Wk46 2025</t>
        </is>
      </c>
      <c r="AE25" t="inlineStr">
        <is>
          <t>Wk47 2025</t>
        </is>
      </c>
      <c r="AF25" t="inlineStr">
        <is>
          <t>Wk48 2025</t>
        </is>
      </c>
      <c r="AG25" t="inlineStr">
        <is>
          <t>Wk49 2025</t>
        </is>
      </c>
      <c r="AH25" t="inlineStr">
        <is>
          <t>Wk50 2025</t>
        </is>
      </c>
      <c r="AI25" t="inlineStr">
        <is>
          <t>Wk51 2025</t>
        </is>
      </c>
      <c r="AJ25" t="inlineStr">
        <is>
          <t>Wk52 2025</t>
        </is>
      </c>
      <c r="AK25" t="inlineStr">
        <is>
          <t>Wk 1 2026</t>
        </is>
      </c>
      <c r="AL25" t="inlineStr">
        <is>
          <t>Wk 2 2026</t>
        </is>
      </c>
      <c r="AM25" t="inlineStr">
        <is>
          <t>Wk 3 2026</t>
        </is>
      </c>
      <c r="AN25" t="inlineStr">
        <is>
          <t>Wk 4 2026</t>
        </is>
      </c>
      <c r="AO25" t="inlineStr">
        <is>
          <t>Wk 5 2026</t>
        </is>
      </c>
      <c r="AP25" t="inlineStr">
        <is>
          <t>Wk 6 2026</t>
        </is>
      </c>
      <c r="AQ25" t="inlineStr">
        <is>
          <t>Wk 7 2026</t>
        </is>
      </c>
      <c r="AR25" t="inlineStr">
        <is>
          <t>Wk 8 2026</t>
        </is>
      </c>
      <c r="AS25" t="inlineStr">
        <is>
          <t>Wk 9 2026</t>
        </is>
      </c>
      <c r="AT25" t="inlineStr">
        <is>
          <t>Wk 10 2026</t>
        </is>
      </c>
      <c r="AU25" s="43" t="inlineStr">
        <is>
          <t>Wk 11 2026</t>
        </is>
      </c>
      <c r="AV25" s="43" t="inlineStr">
        <is>
          <t>Wk 12 2026</t>
        </is>
      </c>
      <c r="AW25" s="43" t="inlineStr">
        <is>
          <t>Wk 13 2026</t>
        </is>
      </c>
      <c r="AX25" s="43" t="inlineStr">
        <is>
          <t>Wk 14 2026</t>
        </is>
      </c>
      <c r="AY25" s="43" t="inlineStr">
        <is>
          <t>Wk 15 2026</t>
        </is>
      </c>
      <c r="AZ25" s="43" t="inlineStr">
        <is>
          <t>Wk 16 2026</t>
        </is>
      </c>
      <c r="BA25" s="43" t="inlineStr">
        <is>
          <t>Wk 17 2026</t>
        </is>
      </c>
      <c r="BB25" s="43" t="inlineStr">
        <is>
          <t>Wk 18 2026</t>
        </is>
      </c>
      <c r="BC25" s="43" t="inlineStr">
        <is>
          <t>Wk 19 2026</t>
        </is>
      </c>
      <c r="BD25" s="43" t="inlineStr">
        <is>
          <t>Wk 20 2026</t>
        </is>
      </c>
      <c r="BE25" s="43" t="inlineStr">
        <is>
          <t>Wk 21 2026</t>
        </is>
      </c>
      <c r="BF25" s="43" t="inlineStr">
        <is>
          <t>Wk 22 2026</t>
        </is>
      </c>
      <c r="BG25" s="43" t="inlineStr">
        <is>
          <t>Wk 23 2026</t>
        </is>
      </c>
      <c r="BH25" s="43" t="inlineStr">
        <is>
          <t>Wk 24 2026</t>
        </is>
      </c>
      <c r="BI25" s="43" t="inlineStr">
        <is>
          <t>Wk 25 2026</t>
        </is>
      </c>
      <c r="BJ25" s="43" t="inlineStr">
        <is>
          <t>Wk 26 2026</t>
        </is>
      </c>
      <c r="BK25" s="43" t="inlineStr">
        <is>
          <t>Wk 27 2026</t>
        </is>
      </c>
      <c r="BL25" s="43" t="inlineStr">
        <is>
          <t>Wk 28 2026</t>
        </is>
      </c>
      <c r="BM25" s="43" t="inlineStr">
        <is>
          <t>Wk 29 2026</t>
        </is>
      </c>
      <c r="BN25" s="43" t="inlineStr">
        <is>
          <t>Wk 30 2026</t>
        </is>
      </c>
      <c r="BO25" s="43" t="inlineStr">
        <is>
          <t>Wk 31 2026</t>
        </is>
      </c>
      <c r="BP25" s="43" t="inlineStr">
        <is>
          <t>Wk 32 2026</t>
        </is>
      </c>
      <c r="BQ25" s="43" t="inlineStr">
        <is>
          <t>Wk 33 2026</t>
        </is>
      </c>
      <c r="BR25" s="43" t="inlineStr">
        <is>
          <t>Wk 34 2026</t>
        </is>
      </c>
      <c r="BS25" s="43" t="inlineStr">
        <is>
          <t>Wk 35 2026</t>
        </is>
      </c>
      <c r="BT25" s="43" t="inlineStr">
        <is>
          <t>Wk 36 2026</t>
        </is>
      </c>
      <c r="BU25" s="43" t="inlineStr">
        <is>
          <t>Wk 37 2026</t>
        </is>
      </c>
      <c r="BV25" s="43" t="inlineStr">
        <is>
          <t>Wk 38 2026</t>
        </is>
      </c>
      <c r="BW25" s="43" t="inlineStr">
        <is>
          <t>Wk 39 2026</t>
        </is>
      </c>
      <c r="BX25" s="43" t="inlineStr">
        <is>
          <t>Wk 40 2026</t>
        </is>
      </c>
      <c r="BY25" s="43" t="inlineStr">
        <is>
          <t>Wk 41 2026</t>
        </is>
      </c>
      <c r="BZ25" s="43" t="inlineStr">
        <is>
          <t>Wk 42 2026</t>
        </is>
      </c>
      <c r="CA25" s="43" t="inlineStr">
        <is>
          <t>Wk 43 2026</t>
        </is>
      </c>
      <c r="CB25" s="43" t="inlineStr">
        <is>
          <t>Wk 44 2026</t>
        </is>
      </c>
      <c r="CC25" s="43" t="inlineStr">
        <is>
          <t>Wk 45 2026</t>
        </is>
      </c>
      <c r="CD25" s="43" t="inlineStr">
        <is>
          <t>Wk 46 2026</t>
        </is>
      </c>
      <c r="CE25" s="43" t="inlineStr">
        <is>
          <t>Wk 47 2026</t>
        </is>
      </c>
      <c r="CF25" s="43" t="inlineStr">
        <is>
          <t>Wk 48 2026</t>
        </is>
      </c>
      <c r="CG25" s="43" t="inlineStr">
        <is>
          <t>Wk 49 2026</t>
        </is>
      </c>
      <c r="CH25" s="43" t="inlineStr">
        <is>
          <t>Wk 50 2026</t>
        </is>
      </c>
      <c r="CI25" s="43" t="inlineStr">
        <is>
          <t>Wk 51 2026</t>
        </is>
      </c>
      <c r="CJ25" s="43" t="inlineStr">
        <is>
          <t>Wk 52 2026</t>
        </is>
      </c>
    </row>
    <row r="26" ht="15.75" customHeight="1">
      <c r="B26" s="9" t="inlineStr">
        <is>
          <t>UK</t>
        </is>
      </c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  <c r="U26" s="35" t="n"/>
      <c r="V26" s="35" t="n"/>
      <c r="W26" s="35" t="n"/>
      <c r="X26" s="35" t="n"/>
      <c r="Y26" s="35" t="n"/>
      <c r="Z26" s="45" t="n">
        <v>0.0157282590190828</v>
      </c>
      <c r="AA26" s="45" t="n">
        <v>0.0225</v>
      </c>
      <c r="AB26" s="45" t="n">
        <v>0.0225</v>
      </c>
      <c r="AC26" s="45" t="n">
        <v>0.0175</v>
      </c>
      <c r="AD26" s="45" t="n">
        <v>0.025</v>
      </c>
      <c r="AE26" s="45" t="n">
        <v>0.02</v>
      </c>
      <c r="AF26" s="45" t="n">
        <v>0.03</v>
      </c>
      <c r="AG26" s="45" t="n">
        <v>0.03</v>
      </c>
      <c r="AH26" s="45" t="n">
        <v>0.025</v>
      </c>
      <c r="AI26" s="45" t="n">
        <v>0.0275</v>
      </c>
      <c r="AJ26" s="45" t="n">
        <v>0.0275</v>
      </c>
      <c r="AK26" s="45" t="n">
        <v>0.02558252585924935</v>
      </c>
      <c r="AL26" s="47" t="n">
        <v>0.02814077844517429</v>
      </c>
      <c r="AM26" s="45" t="n">
        <v>0.02558252585924935</v>
      </c>
      <c r="AN26" s="47" t="n">
        <v>0.02814077844517429</v>
      </c>
      <c r="AO26" s="45" t="n">
        <v>0.02558252585924935</v>
      </c>
      <c r="AP26" s="47" t="n">
        <v>0.02814077844517429</v>
      </c>
      <c r="AQ26" s="45" t="n">
        <v>0.02558252585924935</v>
      </c>
      <c r="AR26" s="47" t="n">
        <v>0.02814077844517429</v>
      </c>
      <c r="AS26" s="45" t="n">
        <v>0.02558252585924935</v>
      </c>
      <c r="AT26" s="47" t="n">
        <v>0.02814077844517429</v>
      </c>
      <c r="AU26" s="47" t="n"/>
      <c r="AV26" s="47" t="n"/>
      <c r="AW26" s="47" t="n"/>
      <c r="AX26" s="47" t="n"/>
      <c r="AY26" s="47" t="n"/>
      <c r="AZ26" s="47" t="n"/>
      <c r="BA26" s="47" t="n"/>
      <c r="BB26" s="47" t="n"/>
      <c r="BC26" s="47" t="n"/>
      <c r="BD26" s="47" t="n"/>
      <c r="BE26" s="47" t="n"/>
      <c r="BF26" s="47" t="n"/>
      <c r="BG26" s="47" t="n"/>
      <c r="BH26" s="47" t="n"/>
      <c r="BI26" s="47" t="n"/>
      <c r="BJ26" s="47" t="n"/>
      <c r="BK26" s="47" t="n"/>
      <c r="BL26" s="47" t="n"/>
      <c r="BM26" s="47" t="n"/>
      <c r="BN26" s="47" t="n"/>
      <c r="BO26" s="47" t="n"/>
      <c r="BP26" s="47" t="n"/>
      <c r="BQ26" s="47" t="n"/>
      <c r="BR26" s="47" t="n"/>
      <c r="BS26" s="47" t="n"/>
      <c r="BT26" s="47" t="n"/>
      <c r="BU26" s="47" t="n"/>
      <c r="BV26" s="47" t="n"/>
      <c r="BW26" s="47" t="n"/>
      <c r="BX26" s="47" t="n"/>
      <c r="BY26" s="47" t="n"/>
      <c r="BZ26" s="47" t="n"/>
      <c r="CA26" s="47" t="n"/>
      <c r="CB26" s="47" t="n"/>
      <c r="CC26" s="47" t="n"/>
      <c r="CD26" s="47" t="n"/>
      <c r="CE26" s="47" t="n"/>
      <c r="CF26" s="47" t="n"/>
      <c r="CG26" s="47" t="n"/>
      <c r="CH26" s="47" t="n"/>
      <c r="CI26" s="47" t="n"/>
      <c r="CJ26" s="47" t="n"/>
    </row>
    <row r="27" ht="15.75" customHeight="1">
      <c r="B27" s="8" t="inlineStr">
        <is>
          <t>DE</t>
        </is>
      </c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45" t="n">
        <v>0.00789328233372137</v>
      </c>
      <c r="AA27" s="45" t="n">
        <v>0.015</v>
      </c>
      <c r="AB27" s="45" t="n">
        <v>0.015</v>
      </c>
      <c r="AC27" s="45" t="n">
        <v>0.0125</v>
      </c>
      <c r="AD27" s="45" t="n">
        <v>0.02</v>
      </c>
      <c r="AE27" s="45" t="n">
        <v>0.015</v>
      </c>
      <c r="AF27" s="45" t="n">
        <v>0.025</v>
      </c>
      <c r="AG27" s="45" t="n">
        <v>0.025</v>
      </c>
      <c r="AH27" s="45" t="n">
        <v>0.0125</v>
      </c>
      <c r="AI27" s="45" t="n">
        <v>0.015</v>
      </c>
      <c r="AJ27" s="45" t="n">
        <v>0.015</v>
      </c>
      <c r="AK27" s="45" t="n">
        <v>0.01666509129196678</v>
      </c>
      <c r="AL27" s="46" t="n">
        <v>0.01833160042116347</v>
      </c>
      <c r="AM27" s="45" t="n">
        <v>0.01666509129196678</v>
      </c>
      <c r="AN27" s="46" t="n">
        <v>0.01833160042116347</v>
      </c>
      <c r="AO27" s="45" t="n">
        <v>0.01666509129196678</v>
      </c>
      <c r="AP27" s="46" t="n">
        <v>0.01833160042116347</v>
      </c>
      <c r="AQ27" s="45" t="n">
        <v>0.01666509129196678</v>
      </c>
      <c r="AR27" s="46" t="n">
        <v>0.01833160042116347</v>
      </c>
      <c r="AS27" s="45" t="n">
        <v>0.01666509129196678</v>
      </c>
      <c r="AT27" s="46" t="n">
        <v>0.01833160042116347</v>
      </c>
      <c r="AU27" s="46" t="n"/>
      <c r="AV27" s="46" t="n"/>
      <c r="AW27" s="46" t="n"/>
      <c r="AX27" s="46" t="n"/>
      <c r="AY27" s="46" t="n"/>
      <c r="AZ27" s="46" t="n"/>
      <c r="BA27" s="46" t="n"/>
      <c r="BB27" s="46" t="n"/>
      <c r="BC27" s="46" t="n"/>
      <c r="BD27" s="46" t="n"/>
      <c r="BE27" s="46" t="n"/>
      <c r="BF27" s="46" t="n"/>
      <c r="BG27" s="46" t="n"/>
      <c r="BH27" s="46" t="n"/>
      <c r="BI27" s="46" t="n"/>
      <c r="BJ27" s="46" t="n"/>
      <c r="BK27" s="46" t="n"/>
      <c r="BL27" s="46" t="n"/>
      <c r="BM27" s="46" t="n"/>
      <c r="BN27" s="46" t="n"/>
      <c r="BO27" s="46" t="n"/>
      <c r="BP27" s="46" t="n"/>
      <c r="BQ27" s="46" t="n"/>
      <c r="BR27" s="46" t="n"/>
      <c r="BS27" s="46" t="n"/>
      <c r="BT27" s="46" t="n"/>
      <c r="BU27" s="46" t="n"/>
      <c r="BV27" s="46" t="n"/>
      <c r="BW27" s="46" t="n"/>
      <c r="BX27" s="46" t="n"/>
      <c r="BY27" s="46" t="n"/>
      <c r="BZ27" s="46" t="n"/>
      <c r="CA27" s="46" t="n"/>
      <c r="CB27" s="46" t="n"/>
      <c r="CC27" s="46" t="n"/>
      <c r="CD27" s="46" t="n"/>
      <c r="CE27" s="46" t="n"/>
      <c r="CF27" s="46" t="n"/>
      <c r="CG27" s="46" t="n"/>
      <c r="CH27" s="46" t="n"/>
      <c r="CI27" s="46" t="n"/>
      <c r="CJ27" s="46" t="n"/>
    </row>
    <row r="28" ht="15.75" customHeight="1">
      <c r="B28" s="9" t="inlineStr">
        <is>
          <t>FR</t>
        </is>
      </c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  <c r="Z28" s="45" t="n">
        <v>0.00612159886019934</v>
      </c>
      <c r="AA28" s="45" t="n">
        <v>0.0125</v>
      </c>
      <c r="AB28" s="45" t="n">
        <v>0.0115</v>
      </c>
      <c r="AC28" s="45" t="n">
        <v>0.01</v>
      </c>
      <c r="AD28" s="45" t="n">
        <v>0.0175</v>
      </c>
      <c r="AE28" s="45" t="n">
        <v>0.01</v>
      </c>
      <c r="AF28" s="45" t="n">
        <v>0.02</v>
      </c>
      <c r="AG28" s="45" t="n">
        <v>0.0175</v>
      </c>
      <c r="AH28" s="45" t="n">
        <v>0.01</v>
      </c>
      <c r="AI28" s="45" t="n">
        <v>0.0125</v>
      </c>
      <c r="AJ28" s="45" t="n">
        <v>0.0125</v>
      </c>
      <c r="AK28" s="45" t="n">
        <v>0.009090339938992048</v>
      </c>
      <c r="AL28" s="46" t="n">
        <v>0.009999373932891254</v>
      </c>
      <c r="AM28" s="45" t="n">
        <v>0.009090339938992048</v>
      </c>
      <c r="AN28" s="46" t="n">
        <v>0.009999373932891254</v>
      </c>
      <c r="AO28" s="45" t="n">
        <v>0.009090339938992048</v>
      </c>
      <c r="AP28" s="46" t="n">
        <v>0.009999373932891254</v>
      </c>
      <c r="AQ28" s="45" t="n">
        <v>0.009090339938992048</v>
      </c>
      <c r="AR28" s="46" t="n">
        <v>0.009999373932891254</v>
      </c>
      <c r="AS28" s="45" t="n">
        <v>0.009090339938992048</v>
      </c>
      <c r="AT28" s="46" t="n">
        <v>0.009999373932891254</v>
      </c>
      <c r="AU28" s="46" t="n"/>
      <c r="AV28" s="46" t="n"/>
      <c r="AW28" s="46" t="n"/>
      <c r="AX28" s="46" t="n"/>
      <c r="AY28" s="46" t="n"/>
      <c r="AZ28" s="46" t="n"/>
      <c r="BA28" s="46" t="n"/>
      <c r="BB28" s="46" t="n"/>
      <c r="BC28" s="46" t="n"/>
      <c r="BD28" s="46" t="n"/>
      <c r="BE28" s="46" t="n"/>
      <c r="BF28" s="46" t="n"/>
      <c r="BG28" s="46" t="n"/>
      <c r="BH28" s="46" t="n"/>
      <c r="BI28" s="46" t="n"/>
      <c r="BJ28" s="46" t="n"/>
      <c r="BK28" s="46" t="n"/>
      <c r="BL28" s="46" t="n"/>
      <c r="BM28" s="46" t="n"/>
      <c r="BN28" s="46" t="n"/>
      <c r="BO28" s="46" t="n"/>
      <c r="BP28" s="46" t="n"/>
      <c r="BQ28" s="46" t="n"/>
      <c r="BR28" s="46" t="n"/>
      <c r="BS28" s="46" t="n"/>
      <c r="BT28" s="46" t="n"/>
      <c r="BU28" s="46" t="n"/>
      <c r="BV28" s="46" t="n"/>
      <c r="BW28" s="46" t="n"/>
      <c r="BX28" s="46" t="n"/>
      <c r="BY28" s="46" t="n"/>
      <c r="BZ28" s="46" t="n"/>
      <c r="CA28" s="46" t="n"/>
      <c r="CB28" s="46" t="n"/>
      <c r="CC28" s="46" t="n"/>
      <c r="CD28" s="46" t="n"/>
      <c r="CE28" s="46" t="n"/>
      <c r="CF28" s="46" t="n"/>
      <c r="CG28" s="46" t="n"/>
      <c r="CH28" s="46" t="n"/>
      <c r="CI28" s="46" t="n"/>
      <c r="CJ28" s="46" t="n"/>
    </row>
    <row r="29" ht="15.75" customHeight="1">
      <c r="B29" s="8" t="inlineStr">
        <is>
          <t>IT</t>
        </is>
      </c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45" t="n">
        <v>0.00447340089839254</v>
      </c>
      <c r="AA29" s="45" t="n">
        <v>0.0125</v>
      </c>
      <c r="AB29" s="45" t="n">
        <v>0.0115</v>
      </c>
      <c r="AC29" s="45" t="n">
        <v>0.01</v>
      </c>
      <c r="AD29" s="45" t="n">
        <v>0.0175</v>
      </c>
      <c r="AE29" s="45" t="n">
        <v>0.01</v>
      </c>
      <c r="AF29" s="45" t="n">
        <v>0.02</v>
      </c>
      <c r="AG29" s="45" t="n">
        <v>0.0175</v>
      </c>
      <c r="AH29" s="45" t="n">
        <v>0.014</v>
      </c>
      <c r="AI29" s="45" t="n">
        <v>0.0175</v>
      </c>
      <c r="AJ29" s="45" t="n">
        <v>0.0175</v>
      </c>
      <c r="AK29" s="45" t="n">
        <v>0.01108607815238729</v>
      </c>
      <c r="AL29" s="46" t="n">
        <v>0.01219468596762602</v>
      </c>
      <c r="AM29" s="45" t="n">
        <v>0.01108607815238729</v>
      </c>
      <c r="AN29" s="46" t="n">
        <v>0.01219468596762602</v>
      </c>
      <c r="AO29" s="45" t="n">
        <v>0.01108607815238729</v>
      </c>
      <c r="AP29" s="46" t="n">
        <v>0.01219468596762602</v>
      </c>
      <c r="AQ29" s="45" t="n">
        <v>0.01108607815238729</v>
      </c>
      <c r="AR29" s="46" t="n">
        <v>0.01219468596762602</v>
      </c>
      <c r="AS29" s="45" t="n">
        <v>0.01108607815238729</v>
      </c>
      <c r="AT29" s="46" t="n">
        <v>0.01219468596762602</v>
      </c>
      <c r="AU29" s="46" t="n"/>
      <c r="AV29" s="46" t="n"/>
      <c r="AW29" s="46" t="n"/>
      <c r="AX29" s="46" t="n"/>
      <c r="AY29" s="46" t="n"/>
      <c r="AZ29" s="46" t="n"/>
      <c r="BA29" s="46" t="n"/>
      <c r="BB29" s="46" t="n"/>
      <c r="BC29" s="46" t="n"/>
      <c r="BD29" s="46" t="n"/>
      <c r="BE29" s="46" t="n"/>
      <c r="BF29" s="46" t="n"/>
      <c r="BG29" s="46" t="n"/>
      <c r="BH29" s="46" t="n"/>
      <c r="BI29" s="46" t="n"/>
      <c r="BJ29" s="46" t="n"/>
      <c r="BK29" s="46" t="n"/>
      <c r="BL29" s="46" t="n"/>
      <c r="BM29" s="46" t="n"/>
      <c r="BN29" s="46" t="n"/>
      <c r="BO29" s="46" t="n"/>
      <c r="BP29" s="46" t="n"/>
      <c r="BQ29" s="46" t="n"/>
      <c r="BR29" s="46" t="n"/>
      <c r="BS29" s="46" t="n"/>
      <c r="BT29" s="46" t="n"/>
      <c r="BU29" s="46" t="n"/>
      <c r="BV29" s="46" t="n"/>
      <c r="BW29" s="46" t="n"/>
      <c r="BX29" s="46" t="n"/>
      <c r="BY29" s="46" t="n"/>
      <c r="BZ29" s="46" t="n"/>
      <c r="CA29" s="46" t="n"/>
      <c r="CB29" s="46" t="n"/>
      <c r="CC29" s="46" t="n"/>
      <c r="CD29" s="46" t="n"/>
      <c r="CE29" s="46" t="n"/>
      <c r="CF29" s="46" t="n"/>
      <c r="CG29" s="46" t="n"/>
      <c r="CH29" s="46" t="n"/>
      <c r="CI29" s="46" t="n"/>
      <c r="CJ29" s="46" t="n"/>
    </row>
    <row r="30" ht="15.75" customHeight="1">
      <c r="B30" s="9" t="inlineStr">
        <is>
          <t>ES</t>
        </is>
      </c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45" t="n">
        <v>0.0016251920681535</v>
      </c>
      <c r="AA30" s="45" t="n">
        <v>0.0125</v>
      </c>
      <c r="AB30" s="45" t="n">
        <v>0.0115</v>
      </c>
      <c r="AC30" s="45" t="n">
        <v>0.01</v>
      </c>
      <c r="AD30" s="45" t="n">
        <v>0.0175</v>
      </c>
      <c r="AE30" s="45" t="n">
        <v>0.01</v>
      </c>
      <c r="AF30" s="45" t="n">
        <v>0.02</v>
      </c>
      <c r="AG30" s="45" t="n">
        <v>0.0175</v>
      </c>
      <c r="AH30" s="45" t="n">
        <v>0.01</v>
      </c>
      <c r="AI30" s="45" t="n">
        <v>0.0125</v>
      </c>
      <c r="AJ30" s="45" t="n">
        <v>0.0125</v>
      </c>
      <c r="AK30" s="45" t="n">
        <v>0.01039537502781076</v>
      </c>
      <c r="AL30" s="46" t="n">
        <v>0.0165</v>
      </c>
      <c r="AM30" s="45" t="n">
        <v>0.01039537502781076</v>
      </c>
      <c r="AN30" s="46" t="n">
        <v>0.0165</v>
      </c>
      <c r="AO30" s="45" t="n">
        <v>0.01039537502781076</v>
      </c>
      <c r="AP30" s="46" t="n">
        <v>0.0165</v>
      </c>
      <c r="AQ30" s="45" t="n">
        <v>0.01039537502781076</v>
      </c>
      <c r="AR30" s="46" t="n">
        <v>0.0165</v>
      </c>
      <c r="AS30" s="45" t="n">
        <v>0.01039537502781076</v>
      </c>
      <c r="AT30" s="46" t="n">
        <v>0.0165</v>
      </c>
      <c r="AU30" s="46" t="n"/>
      <c r="AV30" s="46" t="n"/>
      <c r="AW30" s="46" t="n"/>
      <c r="AX30" s="46" t="n"/>
      <c r="AY30" s="46" t="n"/>
      <c r="AZ30" s="46" t="n"/>
      <c r="BA30" s="46" t="n"/>
      <c r="BB30" s="46" t="n"/>
      <c r="BC30" s="46" t="n"/>
      <c r="BD30" s="46" t="n"/>
      <c r="BE30" s="46" t="n"/>
      <c r="BF30" s="46" t="n"/>
      <c r="BG30" s="46" t="n"/>
      <c r="BH30" s="46" t="n"/>
      <c r="BI30" s="46" t="n"/>
      <c r="BJ30" s="46" t="n"/>
      <c r="BK30" s="46" t="n"/>
      <c r="BL30" s="46" t="n"/>
      <c r="BM30" s="46" t="n"/>
      <c r="BN30" s="46" t="n"/>
      <c r="BO30" s="46" t="n"/>
      <c r="BP30" s="46" t="n"/>
      <c r="BQ30" s="46" t="n"/>
      <c r="BR30" s="46" t="n"/>
      <c r="BS30" s="46" t="n"/>
      <c r="BT30" s="46" t="n"/>
      <c r="BU30" s="46" t="n"/>
      <c r="BV30" s="46" t="n"/>
      <c r="BW30" s="46" t="n"/>
      <c r="BX30" s="46" t="n"/>
      <c r="BY30" s="46" t="n"/>
      <c r="BZ30" s="46" t="n"/>
      <c r="CA30" s="46" t="n"/>
      <c r="CB30" s="46" t="n"/>
      <c r="CC30" s="46" t="n"/>
      <c r="CD30" s="46" t="n"/>
      <c r="CE30" s="46" t="n"/>
      <c r="CF30" s="46" t="n"/>
      <c r="CG30" s="46" t="n"/>
      <c r="CH30" s="46" t="n"/>
      <c r="CI30" s="46" t="n"/>
      <c r="CJ30" s="46" t="n"/>
    </row>
    <row r="31" ht="15.75" customHeight="1">
      <c r="B31" s="40" t="inlineStr">
        <is>
          <t>EU5</t>
        </is>
      </c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45">
        <f>(Z26*Z15+Z16*Z27+Z17*Z28+Z18*Z29+Z19*Z30)/Z20</f>
        <v/>
      </c>
      <c r="AA31" s="45">
        <f>(AA26*AA15+AA16*AA27+AA17*AA28+AA18*AA29+AA19*AA30)/AA20</f>
        <v/>
      </c>
      <c r="AB31" s="45">
        <f>(AB26*AB15+AB16*AB27+AB17*AB28+AB18*AB29+AB19*AB30)/AB20</f>
        <v/>
      </c>
      <c r="AC31" s="45">
        <f>(AC26*AC15+AC16*AC27+AC17*AC28+AC18*AC29+AC19*AC30)/AC20</f>
        <v/>
      </c>
      <c r="AD31" s="45">
        <f>(AD26*AD15+AD16*AD27+AD17*AD28+AD18*AD29+AD19*AD30)/AD20</f>
        <v/>
      </c>
      <c r="AE31" s="45">
        <f>(AE26*AE15+AE16*AE27+AE17*AE28+AE18*AE29+AE19*AE30)/AE20</f>
        <v/>
      </c>
      <c r="AF31" s="45">
        <f>(AF26*AF15+AF16*AF27+AF17*AF28+AF18*AF29+AF19*AF30)/AF20</f>
        <v/>
      </c>
      <c r="AG31" s="45">
        <f>(AG26*AG15+AG16*AG27+AG17*AG28+AG18*AG29+AG19*AG30)/AG20</f>
        <v/>
      </c>
      <c r="AH31" s="45">
        <f>(AH26*AH15+AH16*AH27+AH17*AH28+AH18*AH29+AH19*AH30)/AH20</f>
        <v/>
      </c>
      <c r="AI31" s="45">
        <f>(AI26*AI15+AI16*AI27+AI17*AI28+AI18*AI29+AI19*AI30)/AI20</f>
        <v/>
      </c>
      <c r="AJ31" s="45">
        <f>(AJ26*AJ15+AJ16*AJ27+AJ17*AJ28+AJ18*AJ29+AJ19*AJ30)/AJ20</f>
        <v/>
      </c>
      <c r="AK31" s="45">
        <f>(AK26*AK15+AK16*AK27+AK17*AK28+AK18*AK29+AK19*AK30)/AK20</f>
        <v/>
      </c>
      <c r="AL31" s="45">
        <f>(AL26*AL15+AL16*AL27+AL17*AL28+AL18*AL29+AL19*AL30)/AL20</f>
        <v/>
      </c>
      <c r="AM31" s="45">
        <f>(AM26*AM15+AM16*AM27+AM17*AM28+AM18*AM29+AM19*AM30)/AM20</f>
        <v/>
      </c>
      <c r="AN31" s="45">
        <f>(AN26*AN15+AN16*AN27+AN17*AN28+AN18*AN29+AN19*AN30)/AN20</f>
        <v/>
      </c>
      <c r="AO31" s="45">
        <f>(AO26*AO15+AO16*AO27+AO17*AO28+AO18*AO29+AO19*AO30)/AO20</f>
        <v/>
      </c>
      <c r="AP31" s="45">
        <f>(AP26*AP15+AP16*AP27+AP17*AP28+AP18*AP29+AP19*AP30)/AP20</f>
        <v/>
      </c>
      <c r="AQ31" s="45">
        <f>(AQ26*AQ15+AQ16*AQ27+AQ17*AQ28+AQ18*AQ29+AQ19*AQ30)/AQ20</f>
        <v/>
      </c>
      <c r="AR31" s="45">
        <f>(AR26*AR15+AR16*AR27+AR17*AR28+AR18*AR29+AR19*AR30)/AR20</f>
        <v/>
      </c>
      <c r="AS31" s="45">
        <f>(AS26*AS15+AS16*AS27+AS17*AS28+AS18*AS29+AS19*AS30)/AS20</f>
        <v/>
      </c>
      <c r="AT31" s="45">
        <f>(AT26*AT15+AT16*AT27+AT17*AT28+AT18*AT29+AT19*AT30)/AT20</f>
        <v/>
      </c>
      <c r="AU31" s="44" t="n"/>
      <c r="AV31" s="44" t="n"/>
      <c r="AW31" s="44" t="n"/>
      <c r="AX31" s="44" t="n"/>
      <c r="AY31" s="44" t="n"/>
      <c r="AZ31" s="44" t="n"/>
      <c r="BA31" s="44" t="n"/>
      <c r="BB31" s="44" t="n"/>
      <c r="BC31" s="44" t="n"/>
      <c r="BD31" s="44" t="n"/>
      <c r="BE31" s="44" t="n"/>
      <c r="BF31" s="44" t="n"/>
      <c r="BG31" s="44" t="n"/>
      <c r="BH31" s="44" t="n"/>
      <c r="BI31" s="44" t="n"/>
      <c r="BJ31" s="44" t="n"/>
      <c r="BK31" s="44" t="n"/>
      <c r="BL31" s="44" t="n"/>
      <c r="BM31" s="44" t="n"/>
      <c r="BN31" s="44" t="n"/>
      <c r="BO31" s="44" t="n"/>
      <c r="BP31" s="44" t="n"/>
      <c r="BQ31" s="44" t="n"/>
      <c r="BR31" s="44" t="n"/>
      <c r="BS31" s="44" t="n"/>
      <c r="BT31" s="44" t="n"/>
      <c r="BU31" s="44" t="n"/>
      <c r="BV31" s="44" t="n"/>
      <c r="BW31" s="44" t="n"/>
      <c r="BX31" s="44" t="n"/>
      <c r="BY31" s="44" t="n"/>
      <c r="BZ31" s="44" t="n"/>
      <c r="CA31" s="44" t="n"/>
      <c r="CB31" s="44" t="n"/>
      <c r="CC31" s="44" t="n"/>
      <c r="CD31" s="44" t="n"/>
      <c r="CE31" s="44" t="n"/>
      <c r="CF31" s="44" t="n"/>
      <c r="CG31" s="44" t="n"/>
      <c r="CH31" s="44" t="n"/>
      <c r="CI31" s="44" t="n"/>
      <c r="CJ31" s="44" t="n"/>
    </row>
    <row r="35">
      <c r="B35" t="inlineStr">
        <is>
          <t>UPO</t>
        </is>
      </c>
    </row>
    <row r="36">
      <c r="B36" s="43" t="inlineStr">
        <is>
          <t>MP</t>
        </is>
      </c>
      <c r="C36" t="inlineStr">
        <is>
          <t>Wk19 2025</t>
        </is>
      </c>
      <c r="D36" t="inlineStr">
        <is>
          <t>Wk20 2025</t>
        </is>
      </c>
      <c r="E36" t="inlineStr">
        <is>
          <t>Wk21 2025</t>
        </is>
      </c>
      <c r="F36" t="inlineStr">
        <is>
          <t>Wk22 2025</t>
        </is>
      </c>
      <c r="G36" t="inlineStr">
        <is>
          <t>Wk23 2025</t>
        </is>
      </c>
      <c r="H36" t="inlineStr">
        <is>
          <t>Wk24 2025</t>
        </is>
      </c>
      <c r="I36" t="inlineStr">
        <is>
          <t>Wk25 2025</t>
        </is>
      </c>
      <c r="J36" t="inlineStr">
        <is>
          <t>Wk26 2025</t>
        </is>
      </c>
      <c r="K36" t="inlineStr">
        <is>
          <t>Wk27 2025</t>
        </is>
      </c>
      <c r="L36" t="inlineStr">
        <is>
          <t>Wk28 2025</t>
        </is>
      </c>
      <c r="M36" t="inlineStr">
        <is>
          <t>Wk29 2025</t>
        </is>
      </c>
      <c r="N36" t="inlineStr">
        <is>
          <t>Wk30 2025</t>
        </is>
      </c>
      <c r="O36" t="inlineStr">
        <is>
          <t>Wk31 2025</t>
        </is>
      </c>
      <c r="P36" t="inlineStr">
        <is>
          <t>Wk32 2025</t>
        </is>
      </c>
      <c r="Q36" t="inlineStr">
        <is>
          <t>Wk33 2025</t>
        </is>
      </c>
      <c r="R36" t="inlineStr">
        <is>
          <t>Wk34 2025</t>
        </is>
      </c>
      <c r="S36" t="inlineStr">
        <is>
          <t>Wk35 2025</t>
        </is>
      </c>
      <c r="T36" t="inlineStr">
        <is>
          <t>Wk36 2025</t>
        </is>
      </c>
      <c r="U36" t="inlineStr">
        <is>
          <t>Wk37 2025</t>
        </is>
      </c>
      <c r="V36" t="inlineStr">
        <is>
          <t>Wk38 2025</t>
        </is>
      </c>
      <c r="W36" t="inlineStr">
        <is>
          <t>Wk39 2025</t>
        </is>
      </c>
      <c r="X36" t="inlineStr">
        <is>
          <t>Wk40 2025</t>
        </is>
      </c>
      <c r="Y36" t="inlineStr">
        <is>
          <t>Wk41 2025</t>
        </is>
      </c>
      <c r="Z36" t="inlineStr">
        <is>
          <t>Wk42 2025</t>
        </is>
      </c>
      <c r="AA36" t="inlineStr">
        <is>
          <t>Wk43 2025</t>
        </is>
      </c>
      <c r="AB36" t="inlineStr">
        <is>
          <t>Wk44 2025</t>
        </is>
      </c>
      <c r="AC36" t="inlineStr">
        <is>
          <t>Wk45 2025</t>
        </is>
      </c>
      <c r="AD36" t="inlineStr">
        <is>
          <t>Wk46 2025</t>
        </is>
      </c>
      <c r="AE36" t="inlineStr">
        <is>
          <t>Wk47 2025</t>
        </is>
      </c>
      <c r="AF36" t="inlineStr">
        <is>
          <t>Wk48 2025</t>
        </is>
      </c>
      <c r="AG36" t="inlineStr">
        <is>
          <t>Wk49 2025</t>
        </is>
      </c>
      <c r="AH36" t="inlineStr">
        <is>
          <t>Wk50 2025</t>
        </is>
      </c>
      <c r="AI36" t="inlineStr">
        <is>
          <t>Wk51 2025</t>
        </is>
      </c>
      <c r="AJ36" t="inlineStr">
        <is>
          <t>Wk52 2025</t>
        </is>
      </c>
      <c r="AK36" t="inlineStr">
        <is>
          <t>Wk 1 2026</t>
        </is>
      </c>
      <c r="AL36" t="inlineStr">
        <is>
          <t>Wk 2 2026</t>
        </is>
      </c>
      <c r="AM36" t="inlineStr">
        <is>
          <t>Wk 3 2026</t>
        </is>
      </c>
      <c r="AN36" t="inlineStr">
        <is>
          <t>Wk 4 2026</t>
        </is>
      </c>
      <c r="AO36" t="inlineStr">
        <is>
          <t>Wk 5 2026</t>
        </is>
      </c>
      <c r="AP36" t="inlineStr">
        <is>
          <t>Wk 6 2026</t>
        </is>
      </c>
      <c r="AQ36" t="inlineStr">
        <is>
          <t>Wk 7 2026</t>
        </is>
      </c>
      <c r="AR36" t="inlineStr">
        <is>
          <t>Wk 8 2026</t>
        </is>
      </c>
      <c r="AS36" t="inlineStr">
        <is>
          <t>Wk 9 2026</t>
        </is>
      </c>
      <c r="AT36" t="inlineStr">
        <is>
          <t>Wk 10 2026</t>
        </is>
      </c>
      <c r="AU36" s="43" t="inlineStr">
        <is>
          <t>Wk 11 2026</t>
        </is>
      </c>
      <c r="AV36" s="43" t="inlineStr">
        <is>
          <t>Wk 12 2026</t>
        </is>
      </c>
      <c r="AW36" s="43" t="inlineStr">
        <is>
          <t>Wk 13 2026</t>
        </is>
      </c>
      <c r="AX36" s="43" t="inlineStr">
        <is>
          <t>Wk 14 2026</t>
        </is>
      </c>
      <c r="AY36" s="43" t="inlineStr">
        <is>
          <t>Wk 15 2026</t>
        </is>
      </c>
      <c r="AZ36" s="43" t="inlineStr">
        <is>
          <t>Wk 16 2026</t>
        </is>
      </c>
      <c r="BA36" s="43" t="inlineStr">
        <is>
          <t>Wk 17 2026</t>
        </is>
      </c>
      <c r="BB36" s="43" t="inlineStr">
        <is>
          <t>Wk 18 2026</t>
        </is>
      </c>
      <c r="BC36" s="43" t="inlineStr">
        <is>
          <t>Wk 19 2026</t>
        </is>
      </c>
      <c r="BD36" s="43" t="inlineStr">
        <is>
          <t>Wk 20 2026</t>
        </is>
      </c>
      <c r="BE36" s="43" t="inlineStr">
        <is>
          <t>Wk 21 2026</t>
        </is>
      </c>
      <c r="BF36" s="43" t="inlineStr">
        <is>
          <t>Wk 22 2026</t>
        </is>
      </c>
      <c r="BG36" s="43" t="inlineStr">
        <is>
          <t>Wk 23 2026</t>
        </is>
      </c>
      <c r="BH36" s="43" t="inlineStr">
        <is>
          <t>Wk 24 2026</t>
        </is>
      </c>
      <c r="BI36" s="43" t="inlineStr">
        <is>
          <t>Wk 25 2026</t>
        </is>
      </c>
      <c r="BJ36" s="43" t="inlineStr">
        <is>
          <t>Wk 26 2026</t>
        </is>
      </c>
      <c r="BK36" s="43" t="inlineStr">
        <is>
          <t>Wk 27 2026</t>
        </is>
      </c>
      <c r="BL36" s="43" t="inlineStr">
        <is>
          <t>Wk 28 2026</t>
        </is>
      </c>
      <c r="BM36" s="43" t="inlineStr">
        <is>
          <t>Wk 29 2026</t>
        </is>
      </c>
      <c r="BN36" s="43" t="inlineStr">
        <is>
          <t>Wk 30 2026</t>
        </is>
      </c>
      <c r="BO36" s="43" t="inlineStr">
        <is>
          <t>Wk 31 2026</t>
        </is>
      </c>
      <c r="BP36" s="43" t="inlineStr">
        <is>
          <t>Wk 32 2026</t>
        </is>
      </c>
      <c r="BQ36" s="43" t="inlineStr">
        <is>
          <t>Wk 33 2026</t>
        </is>
      </c>
      <c r="BR36" s="43" t="inlineStr">
        <is>
          <t>Wk 34 2026</t>
        </is>
      </c>
      <c r="BS36" s="43" t="inlineStr">
        <is>
          <t>Wk 35 2026</t>
        </is>
      </c>
      <c r="BT36" s="43" t="inlineStr">
        <is>
          <t>Wk 36 2026</t>
        </is>
      </c>
      <c r="BU36" s="43" t="inlineStr">
        <is>
          <t>Wk 37 2026</t>
        </is>
      </c>
      <c r="BV36" s="43" t="inlineStr">
        <is>
          <t>Wk 38 2026</t>
        </is>
      </c>
      <c r="BW36" s="43" t="inlineStr">
        <is>
          <t>Wk 39 2026</t>
        </is>
      </c>
      <c r="BX36" s="43" t="inlineStr">
        <is>
          <t>Wk 40 2026</t>
        </is>
      </c>
      <c r="BY36" s="43" t="inlineStr">
        <is>
          <t>Wk 41 2026</t>
        </is>
      </c>
      <c r="BZ36" s="43" t="inlineStr">
        <is>
          <t>Wk 42 2026</t>
        </is>
      </c>
      <c r="CA36" s="43" t="inlineStr">
        <is>
          <t>Wk 43 2026</t>
        </is>
      </c>
      <c r="CB36" s="43" t="inlineStr">
        <is>
          <t>Wk 44 2026</t>
        </is>
      </c>
      <c r="CC36" s="43" t="inlineStr">
        <is>
          <t>Wk 45 2026</t>
        </is>
      </c>
      <c r="CD36" s="43" t="inlineStr">
        <is>
          <t>Wk 46 2026</t>
        </is>
      </c>
      <c r="CE36" s="43" t="inlineStr">
        <is>
          <t>Wk 47 2026</t>
        </is>
      </c>
      <c r="CF36" s="43" t="inlineStr">
        <is>
          <t>Wk 48 2026</t>
        </is>
      </c>
      <c r="CG36" s="43" t="inlineStr">
        <is>
          <t>Wk 49 2026</t>
        </is>
      </c>
      <c r="CH36" s="43" t="inlineStr">
        <is>
          <t>Wk 50 2026</t>
        </is>
      </c>
      <c r="CI36" s="43" t="inlineStr">
        <is>
          <t>Wk 51 2026</t>
        </is>
      </c>
      <c r="CJ36" s="43" t="inlineStr">
        <is>
          <t>Wk 52 2026</t>
        </is>
      </c>
    </row>
    <row r="37" ht="15.75" customHeight="1">
      <c r="B37" s="9" t="inlineStr">
        <is>
          <t>UK</t>
        </is>
      </c>
      <c r="C37" s="34" t="n"/>
      <c r="D37" s="34" t="n"/>
      <c r="E37" s="34" t="n"/>
      <c r="L37" s="34" t="n"/>
      <c r="M37" s="34" t="n"/>
      <c r="Z37" s="39" t="n">
        <v>5.6660106601066</v>
      </c>
      <c r="AA37" s="39" t="n">
        <v>8</v>
      </c>
      <c r="AB37" s="39" t="n">
        <v>8</v>
      </c>
      <c r="AC37" s="39" t="n">
        <v>6</v>
      </c>
      <c r="AD37" s="39" t="n">
        <v>7</v>
      </c>
      <c r="AE37" s="39" t="n">
        <v>6</v>
      </c>
      <c r="AF37" s="39" t="n">
        <v>9</v>
      </c>
      <c r="AG37" s="39" t="n">
        <v>9</v>
      </c>
      <c r="AH37" s="39" t="n">
        <v>7</v>
      </c>
      <c r="AI37" s="39" t="n">
        <v>7.5</v>
      </c>
      <c r="AJ37" s="39" t="n">
        <v>7.5</v>
      </c>
      <c r="AK37" s="39" t="n">
        <v>8.772846234097507</v>
      </c>
      <c r="AL37" s="42" t="n">
        <v>9.650130857507259</v>
      </c>
      <c r="AM37" s="39" t="n">
        <v>8.772846234097507</v>
      </c>
      <c r="AN37" s="42" t="n">
        <v>9.650130857507259</v>
      </c>
      <c r="AO37" s="39" t="n">
        <v>8.772846234097507</v>
      </c>
      <c r="AP37" s="42" t="n">
        <v>9.650130857507259</v>
      </c>
      <c r="AQ37" s="39" t="n">
        <v>8.772846234097507</v>
      </c>
      <c r="AR37" s="42" t="n">
        <v>9.650130857507259</v>
      </c>
      <c r="AS37" s="39" t="n">
        <v>8.772846234097507</v>
      </c>
      <c r="AT37" s="42" t="n">
        <v>9.650130857507259</v>
      </c>
      <c r="AU37" s="42" t="n"/>
      <c r="AV37" s="42" t="n"/>
      <c r="AW37" s="42" t="n"/>
      <c r="AX37" s="42" t="n"/>
      <c r="AY37" s="42" t="n"/>
      <c r="AZ37" s="42" t="n"/>
      <c r="BA37" s="42" t="n"/>
      <c r="BB37" s="42" t="n"/>
      <c r="BC37" s="42" t="n"/>
      <c r="BD37" s="42" t="n"/>
      <c r="BE37" s="42" t="n"/>
      <c r="BF37" s="42" t="n"/>
      <c r="BG37" s="42" t="n"/>
      <c r="BH37" s="42" t="n"/>
      <c r="BI37" s="42" t="n"/>
      <c r="BJ37" s="42" t="n"/>
      <c r="BK37" s="42" t="n"/>
      <c r="BL37" s="42" t="n"/>
      <c r="BM37" s="42" t="n"/>
      <c r="BN37" s="42" t="n"/>
      <c r="BO37" s="42" t="n"/>
      <c r="BP37" s="42" t="n"/>
      <c r="BQ37" s="42" t="n"/>
      <c r="BR37" s="42" t="n"/>
      <c r="BS37" s="42" t="n"/>
      <c r="BT37" s="42" t="n"/>
      <c r="BU37" s="42" t="n"/>
      <c r="BV37" s="42" t="n"/>
      <c r="BW37" s="42" t="n"/>
      <c r="BX37" s="42" t="n"/>
      <c r="BY37" s="42" t="n"/>
      <c r="BZ37" s="42" t="n"/>
      <c r="CA37" s="42" t="n"/>
      <c r="CB37" s="42" t="n"/>
      <c r="CC37" s="42" t="n"/>
      <c r="CD37" s="42" t="n"/>
      <c r="CE37" s="42" t="n"/>
      <c r="CF37" s="42" t="n"/>
      <c r="CG37" s="42" t="n"/>
      <c r="CH37" s="42" t="n"/>
      <c r="CI37" s="42" t="n"/>
      <c r="CJ37" s="42" t="n"/>
    </row>
    <row r="38" ht="15.75" customHeight="1">
      <c r="B38" s="8" t="inlineStr">
        <is>
          <t>DE</t>
        </is>
      </c>
      <c r="C38" s="34" t="n"/>
      <c r="D38" s="34" t="n"/>
      <c r="E38" s="34" t="n"/>
      <c r="L38" s="34" t="n"/>
      <c r="M38" s="34" t="n"/>
      <c r="Z38" s="39" t="n">
        <v>5.27079783113865</v>
      </c>
      <c r="AA38" s="39" t="n">
        <v>7</v>
      </c>
      <c r="AB38" s="39" t="n">
        <v>7</v>
      </c>
      <c r="AC38" s="39" t="n">
        <v>6</v>
      </c>
      <c r="AD38" s="39" t="n">
        <v>7</v>
      </c>
      <c r="AE38" s="39" t="n">
        <v>6</v>
      </c>
      <c r="AF38" s="39" t="n">
        <v>9</v>
      </c>
      <c r="AG38" s="39" t="n">
        <v>9</v>
      </c>
      <c r="AH38" s="39" t="n">
        <v>5</v>
      </c>
      <c r="AI38" s="39" t="n">
        <v>5.5</v>
      </c>
      <c r="AJ38" s="39" t="n">
        <v>5.5</v>
      </c>
      <c r="AK38" s="39" t="n">
        <v>5.620093515158434</v>
      </c>
      <c r="AL38" s="41" t="n">
        <v>6.182102866674278</v>
      </c>
      <c r="AM38" s="39" t="n">
        <v>5.620093515158434</v>
      </c>
      <c r="AN38" s="41" t="n">
        <v>6.182102866674278</v>
      </c>
      <c r="AO38" s="39" t="n">
        <v>5.620093515158434</v>
      </c>
      <c r="AP38" s="41" t="n">
        <v>6.182102866674278</v>
      </c>
      <c r="AQ38" s="39" t="n">
        <v>5.620093515158434</v>
      </c>
      <c r="AR38" s="41" t="n">
        <v>6.182102866674278</v>
      </c>
      <c r="AS38" s="39" t="n">
        <v>5.620093515158434</v>
      </c>
      <c r="AT38" s="41" t="n">
        <v>6.182102866674278</v>
      </c>
      <c r="AU38" s="41" t="n"/>
      <c r="AV38" s="41" t="n"/>
      <c r="AW38" s="41" t="n"/>
      <c r="AX38" s="41" t="n"/>
      <c r="AY38" s="41" t="n"/>
      <c r="AZ38" s="41" t="n"/>
      <c r="BA38" s="41" t="n"/>
      <c r="BB38" s="41" t="n"/>
      <c r="BC38" s="41" t="n"/>
      <c r="BD38" s="41" t="n"/>
      <c r="BE38" s="41" t="n"/>
      <c r="BF38" s="41" t="n"/>
      <c r="BG38" s="41" t="n"/>
      <c r="BH38" s="41" t="n"/>
      <c r="BI38" s="41" t="n"/>
      <c r="BJ38" s="41" t="n"/>
      <c r="BK38" s="41" t="n"/>
      <c r="BL38" s="41" t="n"/>
      <c r="BM38" s="41" t="n"/>
      <c r="BN38" s="41" t="n"/>
      <c r="BO38" s="41" t="n"/>
      <c r="BP38" s="41" t="n"/>
      <c r="BQ38" s="41" t="n"/>
      <c r="BR38" s="41" t="n"/>
      <c r="BS38" s="41" t="n"/>
      <c r="BT38" s="41" t="n"/>
      <c r="BU38" s="41" t="n"/>
      <c r="BV38" s="41" t="n"/>
      <c r="BW38" s="41" t="n"/>
      <c r="BX38" s="41" t="n"/>
      <c r="BY38" s="41" t="n"/>
      <c r="BZ38" s="41" t="n"/>
      <c r="CA38" s="41" t="n"/>
      <c r="CB38" s="41" t="n"/>
      <c r="CC38" s="41" t="n"/>
      <c r="CD38" s="41" t="n"/>
      <c r="CE38" s="41" t="n"/>
      <c r="CF38" s="41" t="n"/>
      <c r="CG38" s="41" t="n"/>
      <c r="CH38" s="41" t="n"/>
      <c r="CI38" s="41" t="n"/>
      <c r="CJ38" s="41" t="n"/>
    </row>
    <row r="39" ht="15.75" customHeight="1">
      <c r="B39" s="9" t="inlineStr">
        <is>
          <t>FR</t>
        </is>
      </c>
      <c r="C39" s="34" t="n"/>
      <c r="D39" s="34" t="n"/>
      <c r="E39" s="34" t="n"/>
      <c r="L39" s="34" t="n"/>
      <c r="M39" s="34" t="n"/>
      <c r="Z39" s="39" t="n">
        <v>5.22682445759368</v>
      </c>
      <c r="AA39" s="39" t="n">
        <v>6.5</v>
      </c>
      <c r="AB39" s="39" t="n">
        <v>6</v>
      </c>
      <c r="AC39" s="39" t="n">
        <v>6</v>
      </c>
      <c r="AD39" s="39" t="n">
        <v>7</v>
      </c>
      <c r="AE39" s="39" t="n">
        <v>6</v>
      </c>
      <c r="AF39" s="39" t="n">
        <v>9</v>
      </c>
      <c r="AG39" s="39" t="n">
        <v>9</v>
      </c>
      <c r="AH39" s="39" t="n">
        <v>5.5</v>
      </c>
      <c r="AI39" s="39" t="n">
        <v>6</v>
      </c>
      <c r="AJ39" s="39" t="n">
        <v>6</v>
      </c>
      <c r="AK39" s="39" t="n">
        <v>7.368169013377037</v>
      </c>
      <c r="AL39" s="41" t="n">
        <v>8.104985914714741</v>
      </c>
      <c r="AM39" s="39" t="n">
        <v>7.368169013377037</v>
      </c>
      <c r="AN39" s="41" t="n">
        <v>8.104985914714741</v>
      </c>
      <c r="AO39" s="39" t="n">
        <v>7.368169013377037</v>
      </c>
      <c r="AP39" s="41" t="n">
        <v>8.104985914714741</v>
      </c>
      <c r="AQ39" s="39" t="n">
        <v>7.368169013377037</v>
      </c>
      <c r="AR39" s="41" t="n">
        <v>8.104985914714741</v>
      </c>
      <c r="AS39" s="39" t="n">
        <v>7.368169013377037</v>
      </c>
      <c r="AT39" s="41" t="n">
        <v>8.104985914714741</v>
      </c>
      <c r="AU39" s="41" t="n"/>
      <c r="AV39" s="41" t="n"/>
      <c r="AW39" s="41" t="n"/>
      <c r="AX39" s="41" t="n"/>
      <c r="AY39" s="41" t="n"/>
      <c r="AZ39" s="41" t="n"/>
      <c r="BA39" s="41" t="n"/>
      <c r="BB39" s="41" t="n"/>
      <c r="BC39" s="41" t="n"/>
      <c r="BD39" s="41" t="n"/>
      <c r="BE39" s="41" t="n"/>
      <c r="BF39" s="41" t="n"/>
      <c r="BG39" s="41" t="n"/>
      <c r="BH39" s="41" t="n"/>
      <c r="BI39" s="41" t="n"/>
      <c r="BJ39" s="41" t="n"/>
      <c r="BK39" s="41" t="n"/>
      <c r="BL39" s="41" t="n"/>
      <c r="BM39" s="41" t="n"/>
      <c r="BN39" s="41" t="n"/>
      <c r="BO39" s="41" t="n"/>
      <c r="BP39" s="41" t="n"/>
      <c r="BQ39" s="41" t="n"/>
      <c r="BR39" s="41" t="n"/>
      <c r="BS39" s="41" t="n"/>
      <c r="BT39" s="41" t="n"/>
      <c r="BU39" s="41" t="n"/>
      <c r="BV39" s="41" t="n"/>
      <c r="BW39" s="41" t="n"/>
      <c r="BX39" s="41" t="n"/>
      <c r="BY39" s="41" t="n"/>
      <c r="BZ39" s="41" t="n"/>
      <c r="CA39" s="41" t="n"/>
      <c r="CB39" s="41" t="n"/>
      <c r="CC39" s="41" t="n"/>
      <c r="CD39" s="41" t="n"/>
      <c r="CE39" s="41" t="n"/>
      <c r="CF39" s="41" t="n"/>
      <c r="CG39" s="41" t="n"/>
      <c r="CH39" s="41" t="n"/>
      <c r="CI39" s="41" t="n"/>
      <c r="CJ39" s="41" t="n"/>
    </row>
    <row r="40" ht="15.75" customHeight="1">
      <c r="B40" s="8" t="inlineStr">
        <is>
          <t>IT</t>
        </is>
      </c>
      <c r="C40" s="34" t="n"/>
      <c r="D40" s="34" t="n"/>
      <c r="E40" s="34" t="n"/>
      <c r="L40" s="34" t="n"/>
      <c r="M40" s="34" t="n"/>
      <c r="Z40" s="39" t="n">
        <v>5.6187183033656</v>
      </c>
      <c r="AA40" s="39" t="n">
        <v>6.5</v>
      </c>
      <c r="AB40" s="39" t="n">
        <v>6</v>
      </c>
      <c r="AC40" s="39" t="n">
        <v>6</v>
      </c>
      <c r="AD40" s="39" t="n">
        <v>7</v>
      </c>
      <c r="AE40" s="39" t="n">
        <v>6</v>
      </c>
      <c r="AF40" s="39" t="n">
        <v>9</v>
      </c>
      <c r="AG40" s="39" t="n">
        <v>9</v>
      </c>
      <c r="AH40" s="39" t="n">
        <v>6</v>
      </c>
      <c r="AI40" s="39" t="n">
        <v>6.75</v>
      </c>
      <c r="AJ40" s="39" t="n">
        <v>6.75</v>
      </c>
      <c r="AK40" s="39" t="n">
        <v>8.616163826149936</v>
      </c>
      <c r="AL40" s="41" t="n">
        <v>9.47778020876493</v>
      </c>
      <c r="AM40" s="39" t="n">
        <v>8.616163826149936</v>
      </c>
      <c r="AN40" s="41" t="n">
        <v>9.47778020876493</v>
      </c>
      <c r="AO40" s="39" t="n">
        <v>8.616163826149936</v>
      </c>
      <c r="AP40" s="41" t="n">
        <v>9.47778020876493</v>
      </c>
      <c r="AQ40" s="39" t="n">
        <v>8.616163826149936</v>
      </c>
      <c r="AR40" s="41" t="n">
        <v>9.47778020876493</v>
      </c>
      <c r="AS40" s="39" t="n">
        <v>8.616163826149936</v>
      </c>
      <c r="AT40" s="41" t="n">
        <v>9.47778020876493</v>
      </c>
      <c r="AU40" s="41" t="n"/>
      <c r="AV40" s="41" t="n"/>
      <c r="AW40" s="41" t="n"/>
      <c r="AX40" s="41" t="n"/>
      <c r="AY40" s="41" t="n"/>
      <c r="AZ40" s="41" t="n"/>
      <c r="BA40" s="41" t="n"/>
      <c r="BB40" s="41" t="n"/>
      <c r="BC40" s="41" t="n"/>
      <c r="BD40" s="41" t="n"/>
      <c r="BE40" s="41" t="n"/>
      <c r="BF40" s="41" t="n"/>
      <c r="BG40" s="41" t="n"/>
      <c r="BH40" s="41" t="n"/>
      <c r="BI40" s="41" t="n"/>
      <c r="BJ40" s="41" t="n"/>
      <c r="BK40" s="41" t="n"/>
      <c r="BL40" s="41" t="n"/>
      <c r="BM40" s="41" t="n"/>
      <c r="BN40" s="41" t="n"/>
      <c r="BO40" s="41" t="n"/>
      <c r="BP40" s="41" t="n"/>
      <c r="BQ40" s="41" t="n"/>
      <c r="BR40" s="41" t="n"/>
      <c r="BS40" s="41" t="n"/>
      <c r="BT40" s="41" t="n"/>
      <c r="BU40" s="41" t="n"/>
      <c r="BV40" s="41" t="n"/>
      <c r="BW40" s="41" t="n"/>
      <c r="BX40" s="41" t="n"/>
      <c r="BY40" s="41" t="n"/>
      <c r="BZ40" s="41" t="n"/>
      <c r="CA40" s="41" t="n"/>
      <c r="CB40" s="41" t="n"/>
      <c r="CC40" s="41" t="n"/>
      <c r="CD40" s="41" t="n"/>
      <c r="CE40" s="41" t="n"/>
      <c r="CF40" s="41" t="n"/>
      <c r="CG40" s="41" t="n"/>
      <c r="CH40" s="41" t="n"/>
      <c r="CI40" s="41" t="n"/>
      <c r="CJ40" s="41" t="n"/>
    </row>
    <row r="41" ht="15.75" customHeight="1">
      <c r="B41" s="9" t="inlineStr">
        <is>
          <t>ES</t>
        </is>
      </c>
      <c r="C41" s="34" t="n"/>
      <c r="D41" s="34" t="n"/>
      <c r="E41" s="34" t="n"/>
      <c r="L41" s="34" t="n"/>
      <c r="M41" s="34" t="n"/>
      <c r="Z41" s="39" t="n">
        <v>4.91888111888111</v>
      </c>
      <c r="AA41" s="39" t="n">
        <v>6.5</v>
      </c>
      <c r="AB41" s="39" t="n">
        <v>6</v>
      </c>
      <c r="AC41" s="39" t="n">
        <v>6</v>
      </c>
      <c r="AD41" s="39" t="n">
        <v>7</v>
      </c>
      <c r="AE41" s="39" t="n">
        <v>6</v>
      </c>
      <c r="AF41" s="39" t="n">
        <v>9</v>
      </c>
      <c r="AG41" s="39" t="n">
        <v>9</v>
      </c>
      <c r="AH41" s="39" t="n">
        <v>5</v>
      </c>
      <c r="AI41" s="39" t="n">
        <v>6</v>
      </c>
      <c r="AJ41" s="39" t="n">
        <v>6</v>
      </c>
      <c r="AK41" s="39" t="n">
        <v>7.740065079538069</v>
      </c>
      <c r="AL41" s="41" t="n">
        <v>8.514071587491877</v>
      </c>
      <c r="AM41" s="39" t="n">
        <v>7.740065079538069</v>
      </c>
      <c r="AN41" s="41" t="n">
        <v>8.514071587491877</v>
      </c>
      <c r="AO41" s="39" t="n">
        <v>7.740065079538069</v>
      </c>
      <c r="AP41" s="41" t="n">
        <v>8.514071587491877</v>
      </c>
      <c r="AQ41" s="39" t="n">
        <v>7.740065079538069</v>
      </c>
      <c r="AR41" s="41" t="n">
        <v>8.514071587491877</v>
      </c>
      <c r="AS41" s="39" t="n">
        <v>7.740065079538069</v>
      </c>
      <c r="AT41" s="41" t="n">
        <v>8.514071587491877</v>
      </c>
      <c r="AU41" s="41" t="n"/>
      <c r="AV41" s="41" t="n"/>
      <c r="AW41" s="41" t="n"/>
      <c r="AX41" s="41" t="n"/>
      <c r="AY41" s="41" t="n"/>
      <c r="AZ41" s="41" t="n"/>
      <c r="BA41" s="41" t="n"/>
      <c r="BB41" s="41" t="n"/>
      <c r="BC41" s="41" t="n"/>
      <c r="BD41" s="41" t="n"/>
      <c r="BE41" s="41" t="n"/>
      <c r="BF41" s="41" t="n"/>
      <c r="BG41" s="41" t="n"/>
      <c r="BH41" s="41" t="n"/>
      <c r="BI41" s="41" t="n"/>
      <c r="BJ41" s="41" t="n"/>
      <c r="BK41" s="41" t="n"/>
      <c r="BL41" s="41" t="n"/>
      <c r="BM41" s="41" t="n"/>
      <c r="BN41" s="41" t="n"/>
      <c r="BO41" s="41" t="n"/>
      <c r="BP41" s="41" t="n"/>
      <c r="BQ41" s="41" t="n"/>
      <c r="BR41" s="41" t="n"/>
      <c r="BS41" s="41" t="n"/>
      <c r="BT41" s="41" t="n"/>
      <c r="BU41" s="41" t="n"/>
      <c r="BV41" s="41" t="n"/>
      <c r="BW41" s="41" t="n"/>
      <c r="BX41" s="41" t="n"/>
      <c r="BY41" s="41" t="n"/>
      <c r="BZ41" s="41" t="n"/>
      <c r="CA41" s="41" t="n"/>
      <c r="CB41" s="41" t="n"/>
      <c r="CC41" s="41" t="n"/>
      <c r="CD41" s="41" t="n"/>
      <c r="CE41" s="41" t="n"/>
      <c r="CF41" s="41" t="n"/>
      <c r="CG41" s="41" t="n"/>
      <c r="CH41" s="41" t="n"/>
      <c r="CI41" s="41" t="n"/>
      <c r="CJ41" s="41" t="n"/>
    </row>
    <row r="42" ht="15.75" customHeight="1">
      <c r="B42" s="40" t="inlineStr">
        <is>
          <t>EU5</t>
        </is>
      </c>
      <c r="C42" s="34" t="n"/>
      <c r="D42" s="34" t="n"/>
      <c r="E42" s="34" t="n"/>
      <c r="L42" s="34" t="n"/>
      <c r="M42" s="34" t="n"/>
      <c r="Z42" s="39">
        <f>SUM(Z4:Z8)/SUMPRODUCT(Z15:Z19,Z26:Z30)</f>
        <v/>
      </c>
      <c r="AA42" s="39">
        <f>SUM(AA4:AA8)/SUMPRODUCT(AA15:AA19,AA26:AA30)</f>
        <v/>
      </c>
      <c r="AB42" s="39">
        <f>SUM(AB4:AB8)/SUMPRODUCT(AB15:AB19,AB26:AB30)</f>
        <v/>
      </c>
      <c r="AC42" s="39">
        <f>SUM(AC4:AC8)/SUMPRODUCT(AC15:AC19,AC26:AC30)</f>
        <v/>
      </c>
      <c r="AD42" s="39">
        <f>SUM(AD4:AD8)/SUMPRODUCT(AD15:AD19,AD26:AD30)</f>
        <v/>
      </c>
      <c r="AE42" s="39">
        <f>SUM(AE4:AE8)/SUMPRODUCT(AE15:AE19,AE26:AE30)</f>
        <v/>
      </c>
      <c r="AF42" s="39">
        <f>SUM(AF4:AF8)/SUMPRODUCT(AF15:AF19,AF26:AF30)</f>
        <v/>
      </c>
      <c r="AG42" s="39">
        <f>SUM(AG4:AG8)/SUMPRODUCT(AG15:AG19,AG26:AG30)</f>
        <v/>
      </c>
      <c r="AH42" s="39">
        <f>SUM(AH4:AH8)/SUMPRODUCT(AH15:AH19,AH26:AH30)</f>
        <v/>
      </c>
      <c r="AI42" s="39">
        <f>SUM(AI4:AI8)/SUMPRODUCT(AI15:AI19,AI26:AI30)</f>
        <v/>
      </c>
      <c r="AJ42" s="39">
        <f>SUM(AJ4:AJ8)/SUMPRODUCT(AJ15:AJ19,AJ26:AJ30)</f>
        <v/>
      </c>
      <c r="AK42" s="39">
        <f>SUM(AK4:AK8)/SUMPRODUCT(AK15:AK19,AK26:AK30)</f>
        <v/>
      </c>
      <c r="AL42" s="39">
        <f>SUM(AL4:AL8)/SUMPRODUCT(AL15:AL19,AL26:AL30)</f>
        <v/>
      </c>
      <c r="AM42" s="39">
        <f>SUM(AM4:AM8)/SUMPRODUCT(AM15:AM19,AM26:AM30)</f>
        <v/>
      </c>
      <c r="AN42" s="39">
        <f>SUM(AN4:AN8)/SUMPRODUCT(AN15:AN19,AN26:AN30)</f>
        <v/>
      </c>
      <c r="AO42" s="39">
        <f>SUM(AO4:AO8)/SUMPRODUCT(AO15:AO19,AO26:AO30)</f>
        <v/>
      </c>
      <c r="AP42" s="39">
        <f>SUM(AP4:AP8)/SUMPRODUCT(AP15:AP19,AP26:AP30)</f>
        <v/>
      </c>
      <c r="AQ42" s="39">
        <f>SUM(AQ4:AQ8)/SUMPRODUCT(AQ15:AQ19,AQ26:AQ30)</f>
        <v/>
      </c>
      <c r="AR42" s="39">
        <f>SUM(AR4:AR8)/SUMPRODUCT(AR15:AR19,AR26:AR30)</f>
        <v/>
      </c>
      <c r="AS42" s="39">
        <f>SUM(AS4:AS8)/SUMPRODUCT(AS15:AS19,AS26:AS30)</f>
        <v/>
      </c>
      <c r="AT42" s="39">
        <f>SUM(AT4:AT8)/SUMPRODUCT(AT15:AT19,AT26:AT30)</f>
        <v/>
      </c>
      <c r="AU42" s="38" t="n"/>
      <c r="AV42" s="38" t="n"/>
      <c r="AW42" s="38" t="n"/>
      <c r="AX42" s="38" t="n"/>
      <c r="AY42" s="38" t="n"/>
      <c r="AZ42" s="38" t="n"/>
      <c r="BA42" s="38" t="n"/>
      <c r="BB42" s="38" t="n"/>
      <c r="BC42" s="38" t="n"/>
      <c r="BD42" s="38" t="n"/>
      <c r="BE42" s="38" t="n"/>
      <c r="BF42" s="38" t="n"/>
      <c r="BG42" s="38" t="n"/>
      <c r="BH42" s="38" t="n"/>
      <c r="BI42" s="38" t="n"/>
      <c r="BJ42" s="38" t="n"/>
      <c r="BK42" s="38" t="n"/>
      <c r="BL42" s="38" t="n"/>
      <c r="BM42" s="38" t="n"/>
      <c r="BN42" s="38" t="n"/>
      <c r="BO42" s="38" t="n"/>
      <c r="BP42" s="38" t="n"/>
      <c r="BQ42" s="38" t="n"/>
      <c r="BR42" s="38" t="n"/>
      <c r="BS42" s="38" t="n"/>
      <c r="BT42" s="38" t="n"/>
      <c r="BU42" s="38" t="n"/>
      <c r="BV42" s="38" t="n"/>
      <c r="BW42" s="38" t="n"/>
      <c r="BX42" s="38" t="n"/>
      <c r="BY42" s="38" t="n"/>
      <c r="BZ42" s="38" t="n"/>
      <c r="CA42" s="38" t="n"/>
      <c r="CB42" s="38" t="n"/>
      <c r="CC42" s="38" t="n"/>
      <c r="CD42" s="38" t="n"/>
      <c r="CE42" s="38" t="n"/>
      <c r="CF42" s="38" t="n"/>
      <c r="CG42" s="38" t="n"/>
      <c r="CH42" s="38" t="n"/>
      <c r="CI42" s="38" t="n"/>
      <c r="CJ42" s="38" t="n"/>
    </row>
    <row r="45">
      <c r="E45" s="37" t="n"/>
      <c r="F45" s="37" t="n"/>
      <c r="G45" s="37" t="n"/>
    </row>
    <row r="46" ht="15.75" customHeight="1">
      <c r="E46" s="36" t="n"/>
      <c r="F46" s="36" t="n"/>
      <c r="G46" s="36" t="n"/>
    </row>
    <row r="47">
      <c r="E47" s="35" t="n"/>
      <c r="F47" s="35" t="n"/>
      <c r="G47" s="35" t="n"/>
    </row>
    <row r="48">
      <c r="E48" s="34" t="n"/>
      <c r="F48" s="34" t="n"/>
      <c r="G48" s="34" t="n"/>
    </row>
  </sheetData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promo_type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</row>
    <row r="2">
      <c r="A2" t="inlineStr">
        <is>
          <t>MP</t>
        </is>
      </c>
      <c r="B2" t="inlineStr">
        <is>
          <t>Wk21 2025</t>
        </is>
      </c>
      <c r="C2" t="inlineStr">
        <is>
          <t>Wk22 2025</t>
        </is>
      </c>
      <c r="D2" t="inlineStr">
        <is>
          <t>Wk23 2025</t>
        </is>
      </c>
      <c r="E2" t="inlineStr">
        <is>
          <t>Wk25 2025</t>
        </is>
      </c>
      <c r="F2" t="inlineStr">
        <is>
          <t>Wk26 2025</t>
        </is>
      </c>
      <c r="G2" t="inlineStr">
        <is>
          <t>Wk28 2025</t>
        </is>
      </c>
      <c r="H2" t="inlineStr">
        <is>
          <t>Wk30 2025</t>
        </is>
      </c>
      <c r="I2" t="inlineStr">
        <is>
          <t>Wk32 2025</t>
        </is>
      </c>
      <c r="J2" t="inlineStr">
        <is>
          <t>Wk33 2025</t>
        </is>
      </c>
      <c r="K2" t="inlineStr">
        <is>
          <t>Wk35 2025</t>
        </is>
      </c>
      <c r="L2" t="inlineStr">
        <is>
          <t>Wk36 2025</t>
        </is>
      </c>
      <c r="M2" t="inlineStr">
        <is>
          <t>Wk37 2025</t>
        </is>
      </c>
      <c r="N2" t="inlineStr">
        <is>
          <t>Wk39 2025</t>
        </is>
      </c>
      <c r="O2" t="inlineStr">
        <is>
          <t>Wk40 2025</t>
        </is>
      </c>
      <c r="P2" t="inlineStr">
        <is>
          <t>Wk41 2025</t>
        </is>
      </c>
      <c r="Q2" t="inlineStr">
        <is>
          <t>Wk43 2025</t>
        </is>
      </c>
      <c r="R2" t="inlineStr">
        <is>
          <t>Wk44 2025</t>
        </is>
      </c>
      <c r="S2" t="inlineStr">
        <is>
          <t>Wk45 2025</t>
        </is>
      </c>
      <c r="T2" t="inlineStr">
        <is>
          <t>Wk46 2025</t>
        </is>
      </c>
      <c r="U2" t="inlineStr">
        <is>
          <t>Wk47 2025</t>
        </is>
      </c>
      <c r="V2" t="inlineStr">
        <is>
          <t>Wk48 2025</t>
        </is>
      </c>
      <c r="W2" t="inlineStr">
        <is>
          <t>Wk49 2025</t>
        </is>
      </c>
      <c r="X2" t="inlineStr">
        <is>
          <t>Wk50 2025</t>
        </is>
      </c>
      <c r="Y2" t="inlineStr">
        <is>
          <t>Wk51 2025</t>
        </is>
      </c>
      <c r="Z2" t="inlineStr">
        <is>
          <t>Wk52 2025</t>
        </is>
      </c>
      <c r="AA2" t="inlineStr">
        <is>
          <t>Wk01 2026</t>
        </is>
      </c>
      <c r="AB2" t="inlineStr">
        <is>
          <t>Wk02 2026</t>
        </is>
      </c>
      <c r="AC2" t="inlineStr">
        <is>
          <t>Wk03 2026</t>
        </is>
      </c>
      <c r="AD2" t="inlineStr">
        <is>
          <t>Wk04 2026</t>
        </is>
      </c>
      <c r="AE2" t="inlineStr">
        <is>
          <t>Wk05 2026</t>
        </is>
      </c>
      <c r="AF2" t="inlineStr">
        <is>
          <t>Wk06 2026</t>
        </is>
      </c>
      <c r="AG2" t="inlineStr">
        <is>
          <t>Wk07 2026</t>
        </is>
      </c>
      <c r="AH2" t="inlineStr">
        <is>
          <t>Wk08 2026</t>
        </is>
      </c>
      <c r="AI2" t="inlineStr">
        <is>
          <t>Wk09 2026</t>
        </is>
      </c>
      <c r="AJ2" t="inlineStr">
        <is>
          <t>Wk10 2026</t>
        </is>
      </c>
      <c r="AK2" t="inlineStr">
        <is>
          <t>Wk11 2026</t>
        </is>
      </c>
      <c r="AL2" t="inlineStr">
        <is>
          <t>Wk12 2026</t>
        </is>
      </c>
      <c r="AM2" t="inlineStr">
        <is>
          <t>Wk13 2026</t>
        </is>
      </c>
      <c r="AN2" t="inlineStr">
        <is>
          <t>Wk14 2026</t>
        </is>
      </c>
    </row>
    <row r="3">
      <c r="A3" t="inlineStr">
        <is>
          <t>UK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3</v>
      </c>
      <c r="H3" t="n">
        <v>1</v>
      </c>
      <c r="I3" t="n">
        <v>1</v>
      </c>
      <c r="J3" t="n">
        <v>1</v>
      </c>
      <c r="K3" t="n">
        <v>1</v>
      </c>
      <c r="L3" t="n">
        <v>3</v>
      </c>
      <c r="M3" t="n">
        <v>3</v>
      </c>
      <c r="N3" t="n">
        <v>1</v>
      </c>
      <c r="O3" t="n">
        <v>1</v>
      </c>
      <c r="P3" t="n">
        <v>3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3</v>
      </c>
      <c r="X3" t="n">
        <v>1</v>
      </c>
      <c r="Y3" t="n">
        <v>1</v>
      </c>
      <c r="Z3" t="n">
        <v>1</v>
      </c>
      <c r="AA3" t="n">
        <v>1</v>
      </c>
      <c r="AB3" t="n">
        <v>2</v>
      </c>
      <c r="AC3" t="n">
        <v>2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3</v>
      </c>
      <c r="AL3" t="n">
        <v>3</v>
      </c>
      <c r="AM3" t="n">
        <v>1</v>
      </c>
      <c r="AN3" t="n">
        <v>1</v>
      </c>
    </row>
    <row r="4">
      <c r="A4" t="inlineStr">
        <is>
          <t>DE</t>
        </is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3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2</v>
      </c>
      <c r="O4" t="n">
        <v>2</v>
      </c>
      <c r="P4" t="n">
        <v>3</v>
      </c>
      <c r="Q4" t="n">
        <v>1</v>
      </c>
      <c r="R4" t="n">
        <v>1</v>
      </c>
      <c r="S4" t="n">
        <v>2</v>
      </c>
      <c r="T4" t="n">
        <v>3</v>
      </c>
      <c r="U4" t="n">
        <v>2</v>
      </c>
      <c r="V4" t="n">
        <v>2</v>
      </c>
      <c r="W4" t="n">
        <v>3</v>
      </c>
      <c r="X4" t="n">
        <v>1</v>
      </c>
      <c r="Y4" t="n">
        <v>1</v>
      </c>
      <c r="Z4" t="n">
        <v>1</v>
      </c>
      <c r="AA4" t="n">
        <v>1</v>
      </c>
      <c r="AB4" t="n">
        <v>2</v>
      </c>
      <c r="AC4" t="n">
        <v>2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3</v>
      </c>
      <c r="AL4" t="n">
        <v>3</v>
      </c>
      <c r="AM4" t="n">
        <v>1</v>
      </c>
      <c r="AN4" t="n">
        <v>1</v>
      </c>
    </row>
    <row r="5">
      <c r="A5" t="inlineStr">
        <is>
          <t>FR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3</v>
      </c>
      <c r="Q5" t="n">
        <v>0</v>
      </c>
      <c r="R5" t="n">
        <v>0</v>
      </c>
      <c r="S5" t="n">
        <v>0</v>
      </c>
      <c r="T5" t="n">
        <v>2</v>
      </c>
      <c r="U5" t="n">
        <v>1</v>
      </c>
      <c r="V5" t="n">
        <v>3</v>
      </c>
      <c r="W5" t="n">
        <v>3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3</v>
      </c>
      <c r="AL5" t="n">
        <v>3</v>
      </c>
      <c r="AM5" t="n">
        <v>1</v>
      </c>
      <c r="AN5" t="n">
        <v>1</v>
      </c>
    </row>
    <row r="6">
      <c r="A6" t="inlineStr">
        <is>
          <t>IT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3</v>
      </c>
      <c r="W6" t="n">
        <v>3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3</v>
      </c>
      <c r="AL6" t="n">
        <v>3</v>
      </c>
      <c r="AM6" t="n">
        <v>1</v>
      </c>
      <c r="AN6" t="n">
        <v>1</v>
      </c>
    </row>
    <row r="7">
      <c r="A7" t="inlineStr">
        <is>
          <t>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3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3</v>
      </c>
      <c r="W7" t="n">
        <v>3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3</v>
      </c>
      <c r="AL7" t="n">
        <v>3</v>
      </c>
      <c r="AM7" t="n">
        <v>1</v>
      </c>
      <c r="AN7" t="n">
        <v>1</v>
      </c>
    </row>
    <row r="8">
      <c r="A8" t="inlineStr">
        <is>
          <t>EU5</t>
        </is>
      </c>
      <c r="B8" t="n">
        <v>0.2</v>
      </c>
      <c r="C8" t="n">
        <v>0.2</v>
      </c>
      <c r="D8" t="n">
        <v>0.2</v>
      </c>
      <c r="E8" t="n">
        <v>0.4</v>
      </c>
      <c r="F8" t="n">
        <v>0.4</v>
      </c>
      <c r="G8" t="n">
        <v>1.2</v>
      </c>
      <c r="H8" t="n">
        <v>0.4</v>
      </c>
      <c r="I8" t="n">
        <v>0.4</v>
      </c>
      <c r="J8" t="n">
        <v>0.4</v>
      </c>
      <c r="K8" t="n">
        <v>0.4</v>
      </c>
      <c r="L8" t="n">
        <v>0.8</v>
      </c>
      <c r="M8" t="n">
        <v>0.8</v>
      </c>
      <c r="N8" t="n">
        <v>0.6</v>
      </c>
      <c r="O8" t="n">
        <v>1.2</v>
      </c>
      <c r="P8" t="n">
        <v>3</v>
      </c>
      <c r="Q8" t="n">
        <v>0.4</v>
      </c>
      <c r="R8" t="n">
        <v>0.4</v>
      </c>
      <c r="S8" t="n">
        <v>0.6</v>
      </c>
      <c r="T8" t="n">
        <v>2</v>
      </c>
      <c r="U8" t="n">
        <v>1.2</v>
      </c>
      <c r="V8" t="n">
        <v>2.4</v>
      </c>
      <c r="W8" t="n">
        <v>3</v>
      </c>
      <c r="X8" t="n">
        <v>1</v>
      </c>
      <c r="Y8" t="n">
        <v>1</v>
      </c>
      <c r="Z8" t="n">
        <v>1</v>
      </c>
      <c r="AA8" t="n">
        <v>1</v>
      </c>
      <c r="AB8" t="n">
        <v>1.4</v>
      </c>
      <c r="AC8" t="n">
        <v>1.4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3</v>
      </c>
      <c r="AL8" t="n">
        <v>3</v>
      </c>
      <c r="AM8" t="n">
        <v>1</v>
      </c>
      <c r="AN8" t="n">
        <v>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discount_pct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MP</t>
        </is>
      </c>
      <c r="B11" t="inlineStr">
        <is>
          <t>Wk21 2025</t>
        </is>
      </c>
      <c r="C11" t="inlineStr">
        <is>
          <t>Wk22 2025</t>
        </is>
      </c>
      <c r="D11" t="inlineStr">
        <is>
          <t>Wk23 2025</t>
        </is>
      </c>
      <c r="E11" t="inlineStr">
        <is>
          <t>Wk25 2025</t>
        </is>
      </c>
      <c r="F11" t="inlineStr">
        <is>
          <t>Wk26 2025</t>
        </is>
      </c>
      <c r="G11" t="inlineStr">
        <is>
          <t>Wk28 2025</t>
        </is>
      </c>
      <c r="H11" t="inlineStr">
        <is>
          <t>Wk30 2025</t>
        </is>
      </c>
      <c r="I11" t="inlineStr">
        <is>
          <t>Wk32 2025</t>
        </is>
      </c>
      <c r="J11" t="inlineStr">
        <is>
          <t>Wk33 2025</t>
        </is>
      </c>
      <c r="K11" t="inlineStr">
        <is>
          <t>Wk35 2025</t>
        </is>
      </c>
      <c r="L11" t="inlineStr">
        <is>
          <t>Wk36 2025</t>
        </is>
      </c>
      <c r="M11" t="inlineStr">
        <is>
          <t>Wk37 2025</t>
        </is>
      </c>
      <c r="N11" t="inlineStr">
        <is>
          <t>Wk39 2025</t>
        </is>
      </c>
      <c r="O11" t="inlineStr">
        <is>
          <t>Wk40 2025</t>
        </is>
      </c>
      <c r="P11" t="inlineStr">
        <is>
          <t>Wk41 2025</t>
        </is>
      </c>
      <c r="Q11" t="inlineStr">
        <is>
          <t>Wk43 2025</t>
        </is>
      </c>
      <c r="R11" t="inlineStr">
        <is>
          <t>Wk44 2025</t>
        </is>
      </c>
      <c r="S11" t="inlineStr">
        <is>
          <t>Wk45 2025</t>
        </is>
      </c>
      <c r="T11" t="inlineStr">
        <is>
          <t>Wk46 2025</t>
        </is>
      </c>
      <c r="U11" t="inlineStr">
        <is>
          <t>Wk47 2025</t>
        </is>
      </c>
      <c r="V11" t="inlineStr">
        <is>
          <t>Wk48 2025</t>
        </is>
      </c>
      <c r="W11" t="inlineStr">
        <is>
          <t>Wk49 2025</t>
        </is>
      </c>
      <c r="X11" t="inlineStr">
        <is>
          <t>Wk50 2025</t>
        </is>
      </c>
      <c r="Y11" t="inlineStr">
        <is>
          <t>Wk51 2025</t>
        </is>
      </c>
      <c r="Z11" t="inlineStr">
        <is>
          <t>Wk52 2025</t>
        </is>
      </c>
      <c r="AA11" t="inlineStr">
        <is>
          <t>Wk01 2026</t>
        </is>
      </c>
      <c r="AB11" t="inlineStr">
        <is>
          <t>Wk02 2026</t>
        </is>
      </c>
      <c r="AC11" t="inlineStr">
        <is>
          <t>Wk03 2026</t>
        </is>
      </c>
      <c r="AD11" t="inlineStr">
        <is>
          <t>Wk04 2026</t>
        </is>
      </c>
      <c r="AE11" t="inlineStr">
        <is>
          <t>Wk05 2026</t>
        </is>
      </c>
      <c r="AF11" t="inlineStr">
        <is>
          <t>Wk06 2026</t>
        </is>
      </c>
      <c r="AG11" t="inlineStr">
        <is>
          <t>Wk07 2026</t>
        </is>
      </c>
      <c r="AH11" t="inlineStr">
        <is>
          <t>Wk08 2026</t>
        </is>
      </c>
      <c r="AI11" t="inlineStr">
        <is>
          <t>Wk09 2026</t>
        </is>
      </c>
      <c r="AJ11" t="inlineStr">
        <is>
          <t>Wk10 2026</t>
        </is>
      </c>
      <c r="AK11" t="inlineStr">
        <is>
          <t>Wk11 2026</t>
        </is>
      </c>
      <c r="AL11" t="inlineStr">
        <is>
          <t>Wk12 2026</t>
        </is>
      </c>
      <c r="AM11" t="inlineStr">
        <is>
          <t>Wk13 2026</t>
        </is>
      </c>
      <c r="AN11" t="inlineStr">
        <is>
          <t>Wk14 2026</t>
        </is>
      </c>
    </row>
    <row r="12">
      <c r="A12" t="inlineStr">
        <is>
          <t>UK</t>
        </is>
      </c>
      <c r="B12" t="n">
        <v>50</v>
      </c>
      <c r="C12" t="n">
        <v>50</v>
      </c>
      <c r="D12" t="n">
        <v>50</v>
      </c>
      <c r="E12" t="n">
        <v>25</v>
      </c>
      <c r="F12" t="n">
        <v>25</v>
      </c>
      <c r="G12" t="n">
        <v>0</v>
      </c>
      <c r="H12" t="n">
        <v>30</v>
      </c>
      <c r="I12" t="n">
        <v>70</v>
      </c>
      <c r="J12" t="n">
        <v>70</v>
      </c>
      <c r="K12" t="n">
        <v>50</v>
      </c>
      <c r="L12" t="n">
        <v>0</v>
      </c>
      <c r="M12" t="n">
        <v>0</v>
      </c>
      <c r="N12" t="n">
        <v>50</v>
      </c>
      <c r="O12" t="n">
        <v>50</v>
      </c>
      <c r="P12" t="n">
        <v>0</v>
      </c>
      <c r="Q12" t="n">
        <v>50</v>
      </c>
      <c r="R12" t="n">
        <v>50</v>
      </c>
      <c r="S12" t="n">
        <v>5</v>
      </c>
      <c r="T12" t="n">
        <v>10</v>
      </c>
      <c r="U12" t="n">
        <v>50</v>
      </c>
      <c r="V12" t="n">
        <v>50</v>
      </c>
      <c r="W12" t="n">
        <v>0</v>
      </c>
      <c r="X12" t="n">
        <v>60</v>
      </c>
      <c r="Y12" t="n">
        <v>60</v>
      </c>
      <c r="Z12" t="n">
        <v>60</v>
      </c>
      <c r="AA12" t="n">
        <v>10</v>
      </c>
      <c r="AB12" t="n">
        <v>0</v>
      </c>
      <c r="AC12" t="n">
        <v>0</v>
      </c>
      <c r="AD12" t="n">
        <v>10</v>
      </c>
      <c r="AE12" t="n">
        <v>10</v>
      </c>
      <c r="AF12" t="n">
        <v>10</v>
      </c>
      <c r="AG12" t="n">
        <v>10</v>
      </c>
      <c r="AH12" t="n">
        <v>10</v>
      </c>
      <c r="AI12" t="n">
        <v>10</v>
      </c>
      <c r="AJ12" t="n">
        <v>10</v>
      </c>
      <c r="AK12" t="n">
        <v>0</v>
      </c>
      <c r="AL12" t="n">
        <v>0</v>
      </c>
      <c r="AM12" t="n">
        <v>10</v>
      </c>
      <c r="AN12" t="n">
        <v>10</v>
      </c>
    </row>
    <row r="13">
      <c r="A13" t="inlineStr">
        <is>
          <t>DE</t>
        </is>
      </c>
      <c r="B13" t="n">
        <v>0</v>
      </c>
      <c r="C13" t="n">
        <v>0</v>
      </c>
      <c r="D13" t="n">
        <v>0</v>
      </c>
      <c r="E13" t="n">
        <v>50</v>
      </c>
      <c r="F13" t="n">
        <v>50</v>
      </c>
      <c r="G13" t="n">
        <v>0</v>
      </c>
      <c r="H13" t="n">
        <v>30</v>
      </c>
      <c r="I13" t="n">
        <v>70</v>
      </c>
      <c r="J13" t="n">
        <v>70</v>
      </c>
      <c r="K13" t="n">
        <v>50</v>
      </c>
      <c r="L13" t="n">
        <v>60</v>
      </c>
      <c r="M13" t="n">
        <v>60</v>
      </c>
      <c r="N13" t="n">
        <v>0</v>
      </c>
      <c r="O13" t="n">
        <v>0</v>
      </c>
      <c r="P13" t="n">
        <v>0</v>
      </c>
      <c r="Q13" t="n">
        <v>50</v>
      </c>
      <c r="R13" t="n">
        <v>50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60</v>
      </c>
      <c r="Y13" t="n">
        <v>60</v>
      </c>
      <c r="Z13" t="n">
        <v>60</v>
      </c>
      <c r="AA13" t="n">
        <v>10</v>
      </c>
      <c r="AB13" t="n">
        <v>0</v>
      </c>
      <c r="AC13" t="n">
        <v>0</v>
      </c>
      <c r="AD13" t="n">
        <v>10</v>
      </c>
      <c r="AE13" t="n">
        <v>10</v>
      </c>
      <c r="AF13" t="n">
        <v>10</v>
      </c>
      <c r="AG13" t="n">
        <v>10</v>
      </c>
      <c r="AH13" t="n">
        <v>10</v>
      </c>
      <c r="AI13" t="n">
        <v>10</v>
      </c>
      <c r="AJ13" t="n">
        <v>10</v>
      </c>
      <c r="AK13" t="n">
        <v>0</v>
      </c>
      <c r="AL13" t="n">
        <v>0</v>
      </c>
      <c r="AM13" t="n">
        <v>10</v>
      </c>
      <c r="AN13" t="n">
        <v>10</v>
      </c>
    </row>
    <row r="14">
      <c r="A14" t="inlineStr">
        <is>
          <t>FR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</v>
      </c>
      <c r="V14" t="n">
        <v>0</v>
      </c>
      <c r="W14" t="n">
        <v>0</v>
      </c>
      <c r="X14" t="n">
        <v>60</v>
      </c>
      <c r="Y14" t="n">
        <v>10</v>
      </c>
      <c r="Z14" t="n">
        <v>10</v>
      </c>
      <c r="AA14" t="n">
        <v>10</v>
      </c>
      <c r="AB14" t="n">
        <v>10</v>
      </c>
      <c r="AC14" t="n">
        <v>10</v>
      </c>
      <c r="AD14" t="n">
        <v>10</v>
      </c>
      <c r="AE14" t="n">
        <v>10</v>
      </c>
      <c r="AF14" t="n">
        <v>10</v>
      </c>
      <c r="AG14" t="n">
        <v>10</v>
      </c>
      <c r="AH14" t="n">
        <v>10</v>
      </c>
      <c r="AI14" t="n">
        <v>10</v>
      </c>
      <c r="AJ14" t="n">
        <v>10</v>
      </c>
      <c r="AK14" t="n">
        <v>0</v>
      </c>
      <c r="AL14" t="n">
        <v>0</v>
      </c>
      <c r="AM14" t="n">
        <v>10</v>
      </c>
      <c r="AN14" t="n">
        <v>10</v>
      </c>
    </row>
    <row r="15">
      <c r="A15" t="inlineStr">
        <is>
          <t>IT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40</v>
      </c>
      <c r="V15" t="n">
        <v>0</v>
      </c>
      <c r="W15" t="n">
        <v>0</v>
      </c>
      <c r="X15" t="n">
        <v>60</v>
      </c>
      <c r="Y15" t="n">
        <v>10</v>
      </c>
      <c r="Z15" t="n">
        <v>10</v>
      </c>
      <c r="AA15" t="n">
        <v>10</v>
      </c>
      <c r="AB15" t="n">
        <v>10</v>
      </c>
      <c r="AC15" t="n">
        <v>10</v>
      </c>
      <c r="AD15" t="n">
        <v>10</v>
      </c>
      <c r="AE15" t="n">
        <v>10</v>
      </c>
      <c r="AF15" t="n">
        <v>10</v>
      </c>
      <c r="AG15" t="n">
        <v>10</v>
      </c>
      <c r="AH15" t="n">
        <v>10</v>
      </c>
      <c r="AI15" t="n">
        <v>10</v>
      </c>
      <c r="AJ15" t="n">
        <v>10</v>
      </c>
      <c r="AK15" t="n">
        <v>0</v>
      </c>
      <c r="AL15" t="n">
        <v>0</v>
      </c>
      <c r="AM15" t="n">
        <v>10</v>
      </c>
      <c r="AN15" t="n">
        <v>10</v>
      </c>
    </row>
    <row r="16">
      <c r="A16" t="inlineStr">
        <is>
          <t>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40</v>
      </c>
      <c r="V16" t="n">
        <v>0</v>
      </c>
      <c r="W16" t="n">
        <v>0</v>
      </c>
      <c r="X16" t="n">
        <v>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</v>
      </c>
      <c r="AE16" t="n">
        <v>10</v>
      </c>
      <c r="AF16" t="n">
        <v>10</v>
      </c>
      <c r="AG16" t="n">
        <v>10</v>
      </c>
      <c r="AH16" t="n">
        <v>10</v>
      </c>
      <c r="AI16" t="n">
        <v>10</v>
      </c>
      <c r="AJ16" t="n">
        <v>10</v>
      </c>
      <c r="AK16" t="n">
        <v>0</v>
      </c>
      <c r="AL16" t="n">
        <v>0</v>
      </c>
      <c r="AM16" t="n">
        <v>10</v>
      </c>
      <c r="AN16" t="n">
        <v>10</v>
      </c>
    </row>
    <row r="17">
      <c r="A17" t="inlineStr">
        <is>
          <t>EU5</t>
        </is>
      </c>
      <c r="B17" t="n">
        <v>10</v>
      </c>
      <c r="C17" t="n">
        <v>10</v>
      </c>
      <c r="D17" t="n">
        <v>10</v>
      </c>
      <c r="E17" t="n">
        <v>15</v>
      </c>
      <c r="F17" t="n">
        <v>15</v>
      </c>
      <c r="G17" t="n">
        <v>0</v>
      </c>
      <c r="H17" t="n">
        <v>12</v>
      </c>
      <c r="I17" t="n">
        <v>28</v>
      </c>
      <c r="J17" t="n">
        <v>28</v>
      </c>
      <c r="K17" t="n">
        <v>20</v>
      </c>
      <c r="L17" t="n">
        <v>12</v>
      </c>
      <c r="M17" t="n">
        <v>12</v>
      </c>
      <c r="N17" t="n">
        <v>10</v>
      </c>
      <c r="O17" t="n">
        <v>40</v>
      </c>
      <c r="P17" t="n">
        <v>0</v>
      </c>
      <c r="Q17" t="n">
        <v>20</v>
      </c>
      <c r="R17" t="n">
        <v>20</v>
      </c>
      <c r="S17" t="n">
        <v>1</v>
      </c>
      <c r="T17" t="n">
        <v>2</v>
      </c>
      <c r="U17" t="n">
        <v>34</v>
      </c>
      <c r="V17" t="n">
        <v>10</v>
      </c>
      <c r="W17" t="n">
        <v>0</v>
      </c>
      <c r="X17" t="n">
        <v>60</v>
      </c>
      <c r="Y17" t="n">
        <v>28</v>
      </c>
      <c r="Z17" t="n">
        <v>28</v>
      </c>
      <c r="AA17" t="n">
        <v>8</v>
      </c>
      <c r="AB17" t="n">
        <v>4</v>
      </c>
      <c r="AC17" t="n">
        <v>4</v>
      </c>
      <c r="AD17" t="n">
        <v>10</v>
      </c>
      <c r="AE17" t="n">
        <v>10</v>
      </c>
      <c r="AF17" t="n">
        <v>10</v>
      </c>
      <c r="AG17" t="n">
        <v>10</v>
      </c>
      <c r="AH17" t="n">
        <v>10</v>
      </c>
      <c r="AI17" t="n">
        <v>10</v>
      </c>
      <c r="AJ17" t="n">
        <v>10</v>
      </c>
      <c r="AK17" t="n">
        <v>0</v>
      </c>
      <c r="AL17" t="n">
        <v>0</v>
      </c>
      <c r="AM17" t="n">
        <v>10</v>
      </c>
      <c r="AN17" t="n">
        <v>10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volume_impact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MP</t>
        </is>
      </c>
      <c r="B20" t="inlineStr">
        <is>
          <t>Wk21 2025</t>
        </is>
      </c>
      <c r="C20" t="inlineStr">
        <is>
          <t>Wk22 2025</t>
        </is>
      </c>
      <c r="D20" t="inlineStr">
        <is>
          <t>Wk23 2025</t>
        </is>
      </c>
      <c r="E20" t="inlineStr">
        <is>
          <t>Wk25 2025</t>
        </is>
      </c>
      <c r="F20" t="inlineStr">
        <is>
          <t>Wk26 2025</t>
        </is>
      </c>
      <c r="G20" t="inlineStr">
        <is>
          <t>Wk28 2025</t>
        </is>
      </c>
      <c r="H20" t="inlineStr">
        <is>
          <t>Wk30 2025</t>
        </is>
      </c>
      <c r="I20" t="inlineStr">
        <is>
          <t>Wk32 2025</t>
        </is>
      </c>
      <c r="J20" t="inlineStr">
        <is>
          <t>Wk33 2025</t>
        </is>
      </c>
      <c r="K20" t="inlineStr">
        <is>
          <t>Wk35 2025</t>
        </is>
      </c>
      <c r="L20" t="inlineStr">
        <is>
          <t>Wk36 2025</t>
        </is>
      </c>
      <c r="M20" t="inlineStr">
        <is>
          <t>Wk37 2025</t>
        </is>
      </c>
      <c r="N20" t="inlineStr">
        <is>
          <t>Wk39 2025</t>
        </is>
      </c>
      <c r="O20" t="inlineStr">
        <is>
          <t>Wk40 2025</t>
        </is>
      </c>
      <c r="P20" t="inlineStr">
        <is>
          <t>Wk41 2025</t>
        </is>
      </c>
      <c r="Q20" t="inlineStr">
        <is>
          <t>Wk43 2025</t>
        </is>
      </c>
      <c r="R20" t="inlineStr">
        <is>
          <t>Wk44 2025</t>
        </is>
      </c>
      <c r="S20" t="inlineStr">
        <is>
          <t>Wk45 2025</t>
        </is>
      </c>
      <c r="T20" t="inlineStr">
        <is>
          <t>Wk46 2025</t>
        </is>
      </c>
      <c r="U20" t="inlineStr">
        <is>
          <t>Wk47 2025</t>
        </is>
      </c>
      <c r="V20" t="inlineStr">
        <is>
          <t>Wk48 2025</t>
        </is>
      </c>
      <c r="W20" t="inlineStr">
        <is>
          <t>Wk49 2025</t>
        </is>
      </c>
      <c r="X20" t="inlineStr">
        <is>
          <t>Wk50 2025</t>
        </is>
      </c>
      <c r="Y20" t="inlineStr">
        <is>
          <t>Wk51 2025</t>
        </is>
      </c>
      <c r="Z20" t="inlineStr">
        <is>
          <t>Wk52 2025</t>
        </is>
      </c>
      <c r="AA20" t="inlineStr">
        <is>
          <t>Wk01 2026</t>
        </is>
      </c>
      <c r="AB20" t="inlineStr">
        <is>
          <t>Wk02 2026</t>
        </is>
      </c>
      <c r="AC20" t="inlineStr">
        <is>
          <t>Wk03 2026</t>
        </is>
      </c>
      <c r="AD20" t="inlineStr">
        <is>
          <t>Wk04 2026</t>
        </is>
      </c>
      <c r="AE20" t="inlineStr">
        <is>
          <t>Wk05 2026</t>
        </is>
      </c>
      <c r="AF20" t="inlineStr">
        <is>
          <t>Wk06 2026</t>
        </is>
      </c>
      <c r="AG20" t="inlineStr">
        <is>
          <t>Wk07 2026</t>
        </is>
      </c>
      <c r="AH20" t="inlineStr">
        <is>
          <t>Wk08 2026</t>
        </is>
      </c>
      <c r="AI20" t="inlineStr">
        <is>
          <t>Wk09 2026</t>
        </is>
      </c>
      <c r="AJ20" t="inlineStr">
        <is>
          <t>Wk10 2026</t>
        </is>
      </c>
      <c r="AK20" t="inlineStr">
        <is>
          <t>Wk11 2026</t>
        </is>
      </c>
      <c r="AL20" t="inlineStr">
        <is>
          <t>Wk12 2026</t>
        </is>
      </c>
      <c r="AM20" t="inlineStr">
        <is>
          <t>Wk13 2026</t>
        </is>
      </c>
      <c r="AN20" t="inlineStr">
        <is>
          <t>Wk14 2026</t>
        </is>
      </c>
    </row>
    <row r="21">
      <c r="A21" t="inlineStr">
        <is>
          <t>UK</t>
        </is>
      </c>
      <c r="B21" t="n">
        <v>3</v>
      </c>
      <c r="C21" t="n">
        <v>3</v>
      </c>
      <c r="D21" t="n">
        <v>3</v>
      </c>
      <c r="E21" t="n">
        <v>2</v>
      </c>
      <c r="F21" t="n">
        <v>2</v>
      </c>
      <c r="G21" t="n">
        <v>2</v>
      </c>
      <c r="H21" t="n">
        <v>2</v>
      </c>
      <c r="I21" t="n">
        <v>3</v>
      </c>
      <c r="J21" t="n">
        <v>3</v>
      </c>
      <c r="K21" t="n">
        <v>1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2</v>
      </c>
      <c r="R21" t="n">
        <v>2</v>
      </c>
      <c r="S21" t="n">
        <v>1</v>
      </c>
      <c r="T21" t="n">
        <v>3</v>
      </c>
      <c r="U21" t="n">
        <v>3</v>
      </c>
      <c r="V21" t="n">
        <v>3</v>
      </c>
      <c r="W21" t="n">
        <v>3</v>
      </c>
      <c r="X21" t="n">
        <v>1</v>
      </c>
      <c r="Y21" t="n">
        <v>3</v>
      </c>
      <c r="Z21" t="n">
        <v>3</v>
      </c>
      <c r="AA21" t="n">
        <v>1</v>
      </c>
      <c r="AB21" t="n">
        <v>2</v>
      </c>
      <c r="AC21" t="n">
        <v>2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2</v>
      </c>
      <c r="AL21" t="n">
        <v>2</v>
      </c>
      <c r="AM21" t="n">
        <v>1</v>
      </c>
      <c r="AN21" t="n">
        <v>1</v>
      </c>
    </row>
    <row r="22">
      <c r="A22" t="inlineStr">
        <is>
          <t>DE</t>
        </is>
      </c>
      <c r="B22" t="n">
        <v>0</v>
      </c>
      <c r="C22" t="n">
        <v>0</v>
      </c>
      <c r="D22" t="n">
        <v>0</v>
      </c>
      <c r="E22" t="n">
        <v>3</v>
      </c>
      <c r="F22" t="n">
        <v>3</v>
      </c>
      <c r="G22" t="n">
        <v>2</v>
      </c>
      <c r="H22" t="n">
        <v>2</v>
      </c>
      <c r="I22" t="n">
        <v>3</v>
      </c>
      <c r="J22" t="n">
        <v>3</v>
      </c>
      <c r="K22" t="n">
        <v>1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2</v>
      </c>
      <c r="R22" t="n">
        <v>2</v>
      </c>
      <c r="S22" t="n">
        <v>1</v>
      </c>
      <c r="T22" t="n">
        <v>3</v>
      </c>
      <c r="U22" t="n">
        <v>3</v>
      </c>
      <c r="V22" t="n">
        <v>3</v>
      </c>
      <c r="W22" t="n">
        <v>3</v>
      </c>
      <c r="X22" t="n">
        <v>1</v>
      </c>
      <c r="Y22" t="n">
        <v>3</v>
      </c>
      <c r="Z22" t="n">
        <v>3</v>
      </c>
      <c r="AA22" t="n">
        <v>1</v>
      </c>
      <c r="AB22" t="n">
        <v>2</v>
      </c>
      <c r="AC22" t="n">
        <v>2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2</v>
      </c>
      <c r="AL22" t="n">
        <v>2</v>
      </c>
      <c r="AM22" t="n">
        <v>1</v>
      </c>
      <c r="AN22" t="n">
        <v>1</v>
      </c>
    </row>
    <row r="23">
      <c r="A23" t="inlineStr">
        <is>
          <t>FR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3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2</v>
      </c>
      <c r="W23" t="n">
        <v>2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2</v>
      </c>
      <c r="AL23" t="n">
        <v>2</v>
      </c>
      <c r="AM23" t="n">
        <v>1</v>
      </c>
      <c r="AN23" t="n">
        <v>1</v>
      </c>
    </row>
    <row r="24">
      <c r="A24" t="inlineStr">
        <is>
          <t>IT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3</v>
      </c>
      <c r="Q24" t="n">
        <v>0</v>
      </c>
      <c r="R24" t="n">
        <v>0</v>
      </c>
      <c r="S24" t="n">
        <v>0</v>
      </c>
      <c r="T24" t="n">
        <v>2</v>
      </c>
      <c r="U24" t="n">
        <v>1</v>
      </c>
      <c r="V24" t="n">
        <v>2</v>
      </c>
      <c r="W24" t="n">
        <v>2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2</v>
      </c>
      <c r="AL24" t="n">
        <v>2</v>
      </c>
      <c r="AM24" t="n">
        <v>1</v>
      </c>
      <c r="AN24" t="n">
        <v>1</v>
      </c>
    </row>
    <row r="25">
      <c r="A25" t="inlineStr">
        <is>
          <t>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3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2</v>
      </c>
      <c r="W25" t="n">
        <v>2</v>
      </c>
      <c r="X25" t="n">
        <v>1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2</v>
      </c>
      <c r="AL25" t="n">
        <v>2</v>
      </c>
      <c r="AM25" t="n">
        <v>1</v>
      </c>
      <c r="AN25" t="n">
        <v>1</v>
      </c>
    </row>
    <row r="26">
      <c r="A26" t="inlineStr">
        <is>
          <t>EU5</t>
        </is>
      </c>
      <c r="B26" t="n">
        <v>0.6</v>
      </c>
      <c r="C26" t="n">
        <v>0.6</v>
      </c>
      <c r="D26" t="n">
        <v>0.6</v>
      </c>
      <c r="E26" t="n">
        <v>1</v>
      </c>
      <c r="F26" t="n">
        <v>1</v>
      </c>
      <c r="G26" t="n">
        <v>0.8</v>
      </c>
      <c r="H26" t="n">
        <v>0.8</v>
      </c>
      <c r="I26" t="n">
        <v>1.2</v>
      </c>
      <c r="J26" t="n">
        <v>1.2</v>
      </c>
      <c r="K26" t="n">
        <v>0.4</v>
      </c>
      <c r="L26" t="n">
        <v>1.2</v>
      </c>
      <c r="M26" t="n">
        <v>1.2</v>
      </c>
      <c r="N26" t="n">
        <v>1.2</v>
      </c>
      <c r="O26" t="n">
        <v>2.4</v>
      </c>
      <c r="P26" t="n">
        <v>3</v>
      </c>
      <c r="Q26" t="n">
        <v>0.8</v>
      </c>
      <c r="R26" t="n">
        <v>0.8</v>
      </c>
      <c r="S26" t="n">
        <v>0.4</v>
      </c>
      <c r="T26" t="n">
        <v>2.4</v>
      </c>
      <c r="U26" t="n">
        <v>1.8</v>
      </c>
      <c r="V26" t="n">
        <v>2.4</v>
      </c>
      <c r="W26" t="n">
        <v>2.4</v>
      </c>
      <c r="X26" t="n">
        <v>1</v>
      </c>
      <c r="Y26" t="n">
        <v>2.2</v>
      </c>
      <c r="Z26" t="n">
        <v>2.2</v>
      </c>
      <c r="AA26" t="n">
        <v>1.4</v>
      </c>
      <c r="AB26" t="n">
        <v>1.8</v>
      </c>
      <c r="AC26" t="n">
        <v>1.8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2</v>
      </c>
      <c r="AL26" t="n">
        <v>2</v>
      </c>
      <c r="AM26" t="n">
        <v>1</v>
      </c>
      <c r="AN26" t="n">
        <v>1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promo_count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MP</t>
        </is>
      </c>
      <c r="B29" t="inlineStr">
        <is>
          <t>Wk21 2025</t>
        </is>
      </c>
      <c r="C29" t="inlineStr">
        <is>
          <t>Wk22 2025</t>
        </is>
      </c>
      <c r="D29" t="inlineStr">
        <is>
          <t>Wk23 2025</t>
        </is>
      </c>
      <c r="E29" t="inlineStr">
        <is>
          <t>Wk25 2025</t>
        </is>
      </c>
      <c r="F29" t="inlineStr">
        <is>
          <t>Wk26 2025</t>
        </is>
      </c>
      <c r="G29" t="inlineStr">
        <is>
          <t>Wk28 2025</t>
        </is>
      </c>
      <c r="H29" t="inlineStr">
        <is>
          <t>Wk30 2025</t>
        </is>
      </c>
      <c r="I29" t="inlineStr">
        <is>
          <t>Wk32 2025</t>
        </is>
      </c>
      <c r="J29" t="inlineStr">
        <is>
          <t>Wk33 2025</t>
        </is>
      </c>
      <c r="K29" t="inlineStr">
        <is>
          <t>Wk35 2025</t>
        </is>
      </c>
      <c r="L29" t="inlineStr">
        <is>
          <t>Wk36 2025</t>
        </is>
      </c>
      <c r="M29" t="inlineStr">
        <is>
          <t>Wk37 2025</t>
        </is>
      </c>
      <c r="N29" t="inlineStr">
        <is>
          <t>Wk39 2025</t>
        </is>
      </c>
      <c r="O29" t="inlineStr">
        <is>
          <t>Wk40 2025</t>
        </is>
      </c>
      <c r="P29" t="inlineStr">
        <is>
          <t>Wk41 2025</t>
        </is>
      </c>
      <c r="Q29" t="inlineStr">
        <is>
          <t>Wk43 2025</t>
        </is>
      </c>
      <c r="R29" t="inlineStr">
        <is>
          <t>Wk44 2025</t>
        </is>
      </c>
      <c r="S29" t="inlineStr">
        <is>
          <t>Wk45 2025</t>
        </is>
      </c>
      <c r="T29" t="inlineStr">
        <is>
          <t>Wk46 2025</t>
        </is>
      </c>
      <c r="U29" t="inlineStr">
        <is>
          <t>Wk47 2025</t>
        </is>
      </c>
      <c r="V29" t="inlineStr">
        <is>
          <t>Wk48 2025</t>
        </is>
      </c>
      <c r="W29" t="inlineStr">
        <is>
          <t>Wk49 2025</t>
        </is>
      </c>
      <c r="X29" t="inlineStr">
        <is>
          <t>Wk50 2025</t>
        </is>
      </c>
      <c r="Y29" t="inlineStr">
        <is>
          <t>Wk51 2025</t>
        </is>
      </c>
      <c r="Z29" t="inlineStr">
        <is>
          <t>Wk52 2025</t>
        </is>
      </c>
      <c r="AA29" t="inlineStr">
        <is>
          <t>Wk01 2026</t>
        </is>
      </c>
      <c r="AB29" t="inlineStr">
        <is>
          <t>Wk02 2026</t>
        </is>
      </c>
      <c r="AC29" t="inlineStr">
        <is>
          <t>Wk03 2026</t>
        </is>
      </c>
      <c r="AD29" t="inlineStr">
        <is>
          <t>Wk04 2026</t>
        </is>
      </c>
      <c r="AE29" t="inlineStr">
        <is>
          <t>Wk05 2026</t>
        </is>
      </c>
      <c r="AF29" t="inlineStr">
        <is>
          <t>Wk06 2026</t>
        </is>
      </c>
      <c r="AG29" t="inlineStr">
        <is>
          <t>Wk07 2026</t>
        </is>
      </c>
      <c r="AH29" t="inlineStr">
        <is>
          <t>Wk08 2026</t>
        </is>
      </c>
      <c r="AI29" t="inlineStr">
        <is>
          <t>Wk09 2026</t>
        </is>
      </c>
      <c r="AJ29" t="inlineStr">
        <is>
          <t>Wk10 2026</t>
        </is>
      </c>
      <c r="AK29" t="inlineStr">
        <is>
          <t>Wk11 2026</t>
        </is>
      </c>
      <c r="AL29" t="inlineStr">
        <is>
          <t>Wk12 2026</t>
        </is>
      </c>
      <c r="AM29" t="inlineStr">
        <is>
          <t>Wk13 2026</t>
        </is>
      </c>
      <c r="AN29" t="inlineStr">
        <is>
          <t>Wk14 2026</t>
        </is>
      </c>
    </row>
    <row r="30">
      <c r="A30" t="inlineStr">
        <is>
          <t>UK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5</v>
      </c>
      <c r="L30" t="n">
        <v>4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2</v>
      </c>
      <c r="S30" t="n">
        <v>1</v>
      </c>
      <c r="T30" t="n">
        <v>3</v>
      </c>
      <c r="U30" t="n">
        <v>3</v>
      </c>
      <c r="V30" t="n">
        <v>3</v>
      </c>
      <c r="W30" t="n">
        <v>5</v>
      </c>
      <c r="X30" t="n">
        <v>5</v>
      </c>
      <c r="Y30" t="n">
        <v>2</v>
      </c>
      <c r="Z30" t="n">
        <v>2</v>
      </c>
      <c r="AA30" t="n">
        <v>1</v>
      </c>
      <c r="AB30" t="n">
        <v>3</v>
      </c>
      <c r="AC30" t="n">
        <v>4</v>
      </c>
      <c r="AD30" t="n">
        <v>2</v>
      </c>
      <c r="AE30" t="n">
        <v>1</v>
      </c>
      <c r="AF30" t="n">
        <v>2</v>
      </c>
      <c r="AG30" t="n">
        <v>2</v>
      </c>
      <c r="AH30" t="n">
        <v>2</v>
      </c>
      <c r="AI30" t="n">
        <v>1</v>
      </c>
      <c r="AJ30" t="n">
        <v>1</v>
      </c>
      <c r="AK30" t="n">
        <v>2</v>
      </c>
      <c r="AL30" t="n">
        <v>2</v>
      </c>
      <c r="AM30" t="n">
        <v>1</v>
      </c>
      <c r="AN30" t="n">
        <v>1</v>
      </c>
    </row>
    <row r="31">
      <c r="A31" t="inlineStr">
        <is>
          <t>DE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5</v>
      </c>
      <c r="L31" t="n">
        <v>4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2</v>
      </c>
      <c r="S31" t="n">
        <v>1</v>
      </c>
      <c r="T31" t="n">
        <v>3</v>
      </c>
      <c r="U31" t="n">
        <v>3</v>
      </c>
      <c r="V31" t="n">
        <v>3</v>
      </c>
      <c r="W31" t="n">
        <v>5</v>
      </c>
      <c r="X31" t="n">
        <v>4</v>
      </c>
      <c r="Y31" t="n">
        <v>2</v>
      </c>
      <c r="Z31" t="n">
        <v>2</v>
      </c>
      <c r="AA31" t="n">
        <v>1</v>
      </c>
      <c r="AB31" t="n">
        <v>3</v>
      </c>
      <c r="AC31" t="n">
        <v>4</v>
      </c>
      <c r="AD31" t="n">
        <v>2</v>
      </c>
      <c r="AE31" t="n">
        <v>1</v>
      </c>
      <c r="AF31" t="n">
        <v>2</v>
      </c>
      <c r="AG31" t="n">
        <v>2</v>
      </c>
      <c r="AH31" t="n">
        <v>2</v>
      </c>
      <c r="AI31" t="n">
        <v>1</v>
      </c>
      <c r="AJ31" t="n">
        <v>1</v>
      </c>
      <c r="AK31" t="n">
        <v>2</v>
      </c>
      <c r="AL31" t="n">
        <v>2</v>
      </c>
      <c r="AM31" t="n">
        <v>1</v>
      </c>
      <c r="AN31" t="n">
        <v>1</v>
      </c>
    </row>
    <row r="32">
      <c r="A32" t="inlineStr">
        <is>
          <t>FR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2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2</v>
      </c>
      <c r="W32" t="n">
        <v>5</v>
      </c>
      <c r="X32" t="n">
        <v>4</v>
      </c>
      <c r="Y32" t="n">
        <v>2</v>
      </c>
      <c r="Z32" t="n">
        <v>2</v>
      </c>
      <c r="AA32" t="n">
        <v>1</v>
      </c>
      <c r="AB32" t="n">
        <v>3</v>
      </c>
      <c r="AC32" t="n">
        <v>4</v>
      </c>
      <c r="AD32" t="n">
        <v>2</v>
      </c>
      <c r="AE32" t="n">
        <v>1</v>
      </c>
      <c r="AF32" t="n">
        <v>2</v>
      </c>
      <c r="AG32" t="n">
        <v>2</v>
      </c>
      <c r="AH32" t="n">
        <v>2</v>
      </c>
      <c r="AI32" t="n">
        <v>1</v>
      </c>
      <c r="AJ32" t="n">
        <v>1</v>
      </c>
      <c r="AK32" t="n">
        <v>2</v>
      </c>
      <c r="AL32" t="n">
        <v>2</v>
      </c>
      <c r="AM32" t="n">
        <v>1</v>
      </c>
      <c r="AN32" t="n">
        <v>1</v>
      </c>
    </row>
    <row r="33">
      <c r="A33" t="inlineStr">
        <is>
          <t>IT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2</v>
      </c>
      <c r="Q33" t="n">
        <v>0</v>
      </c>
      <c r="R33" t="n">
        <v>0</v>
      </c>
      <c r="S33" t="n">
        <v>0</v>
      </c>
      <c r="T33" t="n">
        <v>3</v>
      </c>
      <c r="U33" t="n">
        <v>2</v>
      </c>
      <c r="V33" t="n">
        <v>2</v>
      </c>
      <c r="W33" t="n">
        <v>5</v>
      </c>
      <c r="X33" t="n">
        <v>4</v>
      </c>
      <c r="Y33" t="n">
        <v>2</v>
      </c>
      <c r="Z33" t="n">
        <v>2</v>
      </c>
      <c r="AA33" t="n">
        <v>1</v>
      </c>
      <c r="AB33" t="n">
        <v>3</v>
      </c>
      <c r="AC33" t="n">
        <v>4</v>
      </c>
      <c r="AD33" t="n">
        <v>2</v>
      </c>
      <c r="AE33" t="n">
        <v>1</v>
      </c>
      <c r="AF33" t="n">
        <v>2</v>
      </c>
      <c r="AG33" t="n">
        <v>2</v>
      </c>
      <c r="AH33" t="n">
        <v>2</v>
      </c>
      <c r="AI33" t="n">
        <v>1</v>
      </c>
      <c r="AJ33" t="n">
        <v>1</v>
      </c>
      <c r="AK33" t="n">
        <v>2</v>
      </c>
      <c r="AL33" t="n">
        <v>2</v>
      </c>
      <c r="AM33" t="n">
        <v>1</v>
      </c>
      <c r="AN33" t="n">
        <v>1</v>
      </c>
    </row>
    <row r="34">
      <c r="A34" t="inlineStr">
        <is>
          <t>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2</v>
      </c>
      <c r="Q34" t="n">
        <v>0</v>
      </c>
      <c r="R34" t="n">
        <v>0</v>
      </c>
      <c r="S34" t="n">
        <v>0</v>
      </c>
      <c r="T34" t="n">
        <v>3</v>
      </c>
      <c r="U34" t="n">
        <v>2</v>
      </c>
      <c r="V34" t="n">
        <v>2</v>
      </c>
      <c r="W34" t="n">
        <v>5</v>
      </c>
      <c r="X34" t="n">
        <v>4</v>
      </c>
      <c r="Y34" t="n">
        <v>3</v>
      </c>
      <c r="Z34" t="n">
        <v>3</v>
      </c>
      <c r="AA34" t="n">
        <v>2</v>
      </c>
      <c r="AB34" t="n">
        <v>4</v>
      </c>
      <c r="AC34" t="n">
        <v>5</v>
      </c>
      <c r="AD34" t="n">
        <v>2</v>
      </c>
      <c r="AE34" t="n">
        <v>1</v>
      </c>
      <c r="AF34" t="n">
        <v>2</v>
      </c>
      <c r="AG34" t="n">
        <v>2</v>
      </c>
      <c r="AH34" t="n">
        <v>2</v>
      </c>
      <c r="AI34" t="n">
        <v>1</v>
      </c>
      <c r="AJ34" t="n">
        <v>1</v>
      </c>
      <c r="AK34" t="n">
        <v>2</v>
      </c>
      <c r="AL34" t="n">
        <v>2</v>
      </c>
      <c r="AM34" t="n">
        <v>1</v>
      </c>
      <c r="AN34" t="n">
        <v>1</v>
      </c>
    </row>
    <row r="35">
      <c r="A35" t="inlineStr">
        <is>
          <t>EU5</t>
        </is>
      </c>
      <c r="B35" t="n">
        <v>0.2</v>
      </c>
      <c r="C35" t="n">
        <v>0.2</v>
      </c>
      <c r="D35" t="n">
        <v>0.2</v>
      </c>
      <c r="E35" t="n">
        <v>0.4</v>
      </c>
      <c r="F35" t="n">
        <v>0.4</v>
      </c>
      <c r="G35" t="n">
        <v>0.4</v>
      </c>
      <c r="H35" t="n">
        <v>0.4</v>
      </c>
      <c r="I35" t="n">
        <v>0.4</v>
      </c>
      <c r="J35" t="n">
        <v>0.4</v>
      </c>
      <c r="K35" t="n">
        <v>2</v>
      </c>
      <c r="L35" t="n">
        <v>1.6</v>
      </c>
      <c r="M35" t="n">
        <v>0.4</v>
      </c>
      <c r="N35" t="n">
        <v>0.4</v>
      </c>
      <c r="O35" t="n">
        <v>1</v>
      </c>
      <c r="P35" t="n">
        <v>1.6</v>
      </c>
      <c r="Q35" t="n">
        <v>0.4</v>
      </c>
      <c r="R35" t="n">
        <v>0.8</v>
      </c>
      <c r="S35" t="n">
        <v>0.4</v>
      </c>
      <c r="T35" t="n">
        <v>3</v>
      </c>
      <c r="U35" t="n">
        <v>2.4</v>
      </c>
      <c r="V35" t="n">
        <v>2.4</v>
      </c>
      <c r="W35" t="n">
        <v>5</v>
      </c>
      <c r="X35" t="n">
        <v>4.2</v>
      </c>
      <c r="Y35" t="n">
        <v>2.2</v>
      </c>
      <c r="Z35" t="n">
        <v>2.2</v>
      </c>
      <c r="AA35" t="n">
        <v>1.2</v>
      </c>
      <c r="AB35" t="n">
        <v>3.2</v>
      </c>
      <c r="AC35" t="n">
        <v>4.2</v>
      </c>
      <c r="AD35" t="n">
        <v>2</v>
      </c>
      <c r="AE35" t="n">
        <v>1</v>
      </c>
      <c r="AF35" t="n">
        <v>2</v>
      </c>
      <c r="AG35" t="n">
        <v>2</v>
      </c>
      <c r="AH35" t="n">
        <v>2</v>
      </c>
      <c r="AI35" t="n">
        <v>1</v>
      </c>
      <c r="AJ35" t="n">
        <v>1</v>
      </c>
      <c r="AK35" t="n">
        <v>2</v>
      </c>
      <c r="AL35" t="n">
        <v>2</v>
      </c>
      <c r="AM35" t="n">
        <v>1</v>
      </c>
      <c r="AN35" t="n">
        <v>1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Nachbar, Florian</dc:creator>
  <dcterms:created xmlns:dcterms="http://purl.org/dc/terms/" xmlns:xsi="http://www.w3.org/2001/XMLSchema-instance" xsi:type="dcterms:W3CDTF">2025-12-23T23:27:07Z</dcterms:created>
  <dcterms:modified xmlns:dcterms="http://purl.org/dc/terms/" xmlns:xsi="http://www.w3.org/2001/XMLSchema-instance" xsi:type="dcterms:W3CDTF">2026-02-11T11:12:50Z</dcterms:modified>
  <cp:lastModifiedBy>Nachbar, Florian</cp:lastModifiedBy>
</cp:coreProperties>
</file>

<file path=docProps/custom.xml><?xml version="1.0" encoding="utf-8"?>
<Properties xmlns="http://schemas.openxmlformats.org/officeDocument/2006/custom-properties">
  <property name="MSIP_Label_19e68092-05df-4271-8e3e-b2a4c82ba797_Enabled" fmtid="{D5CDD505-2E9C-101B-9397-08002B2CF9AE}" pid="2">
    <vt:lpwstr xmlns:vt="http://schemas.openxmlformats.org/officeDocument/2006/docPropsVTypes">true</vt:lpwstr>
  </property>
  <property name="MSIP_Label_19e68092-05df-4271-8e3e-b2a4c82ba797_SetDate" fmtid="{D5CDD505-2E9C-101B-9397-08002B2CF9AE}" pid="3">
    <vt:lpwstr xmlns:vt="http://schemas.openxmlformats.org/officeDocument/2006/docPropsVTypes">2025-12-23T23:27:11Z</vt:lpwstr>
  </property>
  <property name="MSIP_Label_19e68092-05df-4271-8e3e-b2a4c82ba797_Method" fmtid="{D5CDD505-2E9C-101B-9397-08002B2CF9AE}" pid="4">
    <vt:lpwstr xmlns:vt="http://schemas.openxmlformats.org/officeDocument/2006/docPropsVTypes">Standard</vt:lpwstr>
  </property>
  <property name="MSIP_Label_19e68092-05df-4271-8e3e-b2a4c82ba797_Name" fmtid="{D5CDD505-2E9C-101B-9397-08002B2CF9AE}" pid="5">
    <vt:lpwstr xmlns:vt="http://schemas.openxmlformats.org/officeDocument/2006/docPropsVTypes">Amazon Confidential</vt:lpwstr>
  </property>
  <property name="MSIP_Label_19e68092-05df-4271-8e3e-b2a4c82ba797_SiteId" fmtid="{D5CDD505-2E9C-101B-9397-08002B2CF9AE}" pid="6">
    <vt:lpwstr xmlns:vt="http://schemas.openxmlformats.org/officeDocument/2006/docPropsVTypes">5280104a-472d-4538-9ccf-1e1d0efe8b1b</vt:lpwstr>
  </property>
  <property name="MSIP_Label_19e68092-05df-4271-8e3e-b2a4c82ba797_ActionId" fmtid="{D5CDD505-2E9C-101B-9397-08002B2CF9AE}" pid="7">
    <vt:lpwstr xmlns:vt="http://schemas.openxmlformats.org/officeDocument/2006/docPropsVTypes">2984897a-03fe-430d-82e9-5a42b138584c</vt:lpwstr>
  </property>
  <property name="MSIP_Label_19e68092-05df-4271-8e3e-b2a4c82ba797_ContentBits" fmtid="{D5CDD505-2E9C-101B-9397-08002B2CF9AE}" pid="8">
    <vt:lpwstr xmlns:vt="http://schemas.openxmlformats.org/officeDocument/2006/docPropsVTypes">0</vt:lpwstr>
  </property>
  <property name="MSIP_Label_19e68092-05df-4271-8e3e-b2a4c82ba797_Tag" fmtid="{D5CDD505-2E9C-101B-9397-08002B2CF9AE}" pid="9">
    <vt:lpwstr xmlns:vt="http://schemas.openxmlformats.org/officeDocument/2006/docPropsVTypes">10, 3, 0, 1</vt:lpwstr>
  </property>
</Properties>
</file>